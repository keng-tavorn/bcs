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15.xml" ContentType="application/vnd.openxmlformats-officedocument.spreadsheetml.comments+xml"/>
  <Override PartName="/xl/styles.xml" ContentType="application/vnd.openxmlformats-officedocument.spreadsheetml.style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_rels/sheet15.xml.rels" ContentType="application/vnd.openxmlformats-package.relationships+xml"/>
  <Override PartName="/xl/worksheets/_rels/sheet8.xml.rels" ContentType="application/vnd.openxmlformats-package.relationships+xml"/>
  <Override PartName="/xl/worksheets/_rels/sheet14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8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drawings/vmlDrawing5.vml" ContentType="application/vnd.openxmlformats-officedocument.vmlDrawing"/>
  <Override PartName="/xl/comments14.xml" ContentType="application/vnd.openxmlformats-officedocument.spreadsheetml.comments+xml"/>
  <Override PartName="/xl/_rels/workbook.xml.rels" ContentType="application/vnd.openxmlformats-package.relationship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Questions" sheetId="3" state="visible" r:id="rId5"/>
    <sheet name="Org" sheetId="4" state="visible" r:id="rId6"/>
    <sheet name="Departments" sheetId="5" state="visible" r:id="rId7"/>
    <sheet name="Positions" sheetId="6" state="visible" r:id="rId8"/>
    <sheet name="Users" sheetId="7" state="visible" r:id="rId9"/>
    <sheet name="DOA" sheetId="8" state="visible" r:id="rId10"/>
    <sheet name="DOA_Policy" sheetId="9" state="visible" r:id="rId11"/>
    <sheet name="Budget" sheetId="10" state="visible" r:id="rId12"/>
    <sheet name="Suppliers" sheetId="11" state="visible" r:id="rId13"/>
    <sheet name="Sites" sheetId="12" state="visible" r:id="rId14"/>
    <sheet name="RequestTypes" sheetId="13" state="visible" r:id="rId15"/>
    <sheet name="Holidays" sheetId="14" state="visible" r:id="rId16"/>
    <sheet name="Settings" sheetId="15" state="visible" r:id="rId17"/>
    <sheet name="Demo_History" sheetId="16" state="visible" r:id="rId18"/>
    <sheet name="Demo_Script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ช่วงวงเงินคือ </t>
        </r>
        <r>
          <rPr>
            <sz val="10"/>
            <rFont val="Arial"/>
            <family val="2"/>
          </rPr>
          <t xml:space="preserve">(</t>
        </r>
        <r>
          <rPr>
            <sz val="10"/>
            <rFont val="FreeSans"/>
            <family val="2"/>
          </rPr>
          <t xml:space="preserve">มากกว่า</t>
        </r>
        <r>
          <rPr>
            <sz val="10"/>
            <rFont val="Arial"/>
            <family val="2"/>
          </rPr>
          <t xml:space="preserve">, </t>
        </r>
        <r>
          <rPr>
            <sz val="10"/>
            <rFont val="FreeSans"/>
            <family val="2"/>
          </rPr>
          <t xml:space="preserve">ไม่เกิน</t>
        </r>
        <r>
          <rPr>
            <sz val="10"/>
            <rFont val="Arial"/>
            <family val="2"/>
          </rPr>
          <t xml:space="preserve">] </t>
        </r>
        <r>
          <rPr>
            <sz val="10"/>
            <rFont val="FreeSans"/>
            <family val="2"/>
          </rPr>
          <t xml:space="preserve">ยอดเท่าขอบบนพอดีอยู่ช่วงนี้ ยอดเกิน </t>
        </r>
        <r>
          <rPr>
            <sz val="10"/>
            <rFont val="Arial"/>
            <family val="2"/>
          </rPr>
          <t xml:space="preserve">1 </t>
        </r>
        <r>
          <rPr>
            <sz val="10"/>
            <rFont val="FreeSans"/>
            <family val="2"/>
          </rPr>
          <t xml:space="preserve">สตางค์ไปช่วงถัดไป </t>
        </r>
        <r>
          <rPr>
            <sz val="10"/>
            <rFont val="Arial"/>
            <family val="2"/>
          </rPr>
          <t xml:space="preserve">(BR-DOA-02)</t>
        </r>
      </text>
    </comment>
  </commentList>
</comments>
</file>

<file path=xl/comments1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ปฏิทินจริงของบริษัทให้ </t>
        </r>
        <r>
          <rPr>
            <sz val="10"/>
            <rFont val="Arial"/>
            <family val="2"/>
          </rPr>
          <t xml:space="preserve">HR </t>
        </r>
        <r>
          <rPr>
            <sz val="10"/>
            <rFont val="FreeSans"/>
            <family val="2"/>
          </rPr>
          <t xml:space="preserve">ส่งมา </t>
        </r>
        <r>
          <rPr>
            <sz val="10"/>
            <rFont val="Arial"/>
            <family val="2"/>
          </rPr>
          <t xml:space="preserve">(IN-13) </t>
        </r>
        <r>
          <rPr>
            <sz val="10"/>
            <rFont val="FreeSans"/>
            <family val="2"/>
          </rPr>
          <t xml:space="preserve">รายการนี้เป็นตัวอย่าง</t>
        </r>
      </text>
    </comment>
  </commentList>
</comments>
</file>

<file path=xl/comments1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แถว </t>
        </r>
        <r>
          <rPr>
            <sz val="10"/>
            <rFont val="Arial"/>
            <family val="2"/>
          </rPr>
          <t xml:space="preserve">3 (vatRate) </t>
        </r>
        <r>
          <rPr>
            <sz val="10"/>
            <rFont val="FreeSans"/>
            <family val="2"/>
          </rPr>
          <t xml:space="preserve">ถูกอ้างโดยสูตรในชีต </t>
        </r>
        <r>
          <rPr>
            <sz val="10"/>
            <rFont val="Arial"/>
            <family val="2"/>
          </rPr>
          <t xml:space="preserve">Demo_History </t>
        </r>
        <r>
          <rPr>
            <sz val="10"/>
            <rFont val="FreeSans"/>
            <family val="2"/>
          </rPr>
          <t xml:space="preserve">และ </t>
        </r>
        <r>
          <rPr>
            <sz val="10"/>
            <rFont val="Arial"/>
            <family val="2"/>
          </rPr>
          <t xml:space="preserve">Demo_Script </t>
        </r>
        <r>
          <rPr>
            <sz val="10"/>
            <rFont val="FreeSans"/>
            <family val="2"/>
          </rPr>
          <t xml:space="preserve">ห้ามย้ายแถว</t>
        </r>
      </text>
    </comment>
    <comment ref="B3" authorId="0">
      <text>
        <r>
          <rPr>
            <sz val="10"/>
            <rFont val="FreeSans"/>
            <family val="2"/>
          </rPr>
          <t xml:space="preserve">ครม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อนุมัติร่าง พ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ร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ฎ</t>
        </r>
        <r>
          <rPr>
            <sz val="10"/>
            <rFont val="Arial"/>
            <family val="2"/>
          </rPr>
          <t xml:space="preserve">. </t>
        </r>
        <r>
          <rPr>
            <sz val="10"/>
            <rFont val="FreeSans"/>
            <family val="2"/>
          </rPr>
          <t xml:space="preserve">คง </t>
        </r>
        <r>
          <rPr>
            <sz val="10"/>
            <rFont val="Arial"/>
            <family val="2"/>
          </rPr>
          <t xml:space="preserve">VAT 7% </t>
        </r>
        <r>
          <rPr>
            <sz val="10"/>
            <rFont val="FreeSans"/>
            <family val="2"/>
          </rPr>
          <t xml:space="preserve">ถึง </t>
        </r>
        <r>
          <rPr>
            <sz val="10"/>
            <rFont val="Arial"/>
            <family val="2"/>
          </rPr>
          <t xml:space="preserve">30 </t>
        </r>
        <r>
          <rPr>
            <sz val="10"/>
            <rFont val="FreeSans"/>
            <family val="2"/>
          </rPr>
          <t xml:space="preserve">ก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ย</t>
        </r>
        <r>
          <rPr>
            <sz val="10"/>
            <rFont val="Arial"/>
            <family val="2"/>
          </rPr>
          <t xml:space="preserve">. 2027 (27 </t>
        </r>
        <r>
          <rPr>
            <sz val="10"/>
            <rFont val="FreeSans"/>
            <family val="2"/>
          </rPr>
          <t xml:space="preserve">ก</t>
        </r>
        <r>
          <rPr>
            <sz val="10"/>
            <rFont val="Arial"/>
            <family val="2"/>
          </rPr>
          <t xml:space="preserve">.</t>
        </r>
        <r>
          <rPr>
            <sz val="10"/>
            <rFont val="FreeSans"/>
            <family val="2"/>
          </rPr>
          <t xml:space="preserve">ค</t>
        </r>
        <r>
          <rPr>
            <sz val="10"/>
            <rFont val="Arial"/>
            <family val="2"/>
          </rPr>
          <t xml:space="preserve">. 2026) </t>
        </r>
        <r>
          <rPr>
            <sz val="10"/>
            <rFont val="FreeSans"/>
            <family val="2"/>
          </rPr>
          <t xml:space="preserve">รอยืนยันราชกิจจานุเบกษา </t>
        </r>
        <r>
          <rPr>
            <sz val="10"/>
            <rFont val="Arial"/>
            <family val="2"/>
          </rPr>
          <t xml:space="preserve">(OQ-29) · </t>
        </r>
        <r>
          <rPr>
            <sz val="10"/>
            <rFont val="FreeSans"/>
            <family val="2"/>
          </rPr>
          <t xml:space="preserve">ระบบจริงใช้ตาราง </t>
        </r>
        <r>
          <rPr>
            <sz val="10"/>
            <rFont val="Arial"/>
            <family val="2"/>
          </rPr>
          <t xml:space="preserve">TaxRate</t>
        </r>
      </text>
    </comment>
  </commentList>
</comments>
</file>

<file path=xl/comments1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ชีตนี้ใช้เฉพาะ </t>
        </r>
        <r>
          <rPr>
            <sz val="10"/>
            <rFont val="Arial"/>
            <family val="2"/>
          </rPr>
          <t xml:space="preserve">demo: seed </t>
        </r>
        <r>
          <rPr>
            <sz val="10"/>
            <rFont val="FreeSans"/>
            <family val="2"/>
          </rPr>
          <t xml:space="preserve">สร้างคำขอ ใบสั่งซื้อ และการตรวจรับตามสถานะ โดยนับวันย้อนจากวันที่รัน </t>
        </r>
        <r>
          <rPr>
            <sz val="10"/>
            <rFont val="Arial"/>
            <family val="2"/>
          </rPr>
          <t xml:space="preserve">seed</t>
        </r>
      </text>
    </comment>
  </commentList>
</comments>
</file>

<file path=xl/comments17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FreeSans"/>
            <family val="2"/>
          </rPr>
          <t xml:space="preserve">ฉากเรียงตามลำดับเล่นจริง ยอดเงินเลือกให้ชนกฎแต่ละข้อ </t>
        </r>
        <r>
          <rPr>
            <sz val="10"/>
            <rFont val="Arial"/>
            <family val="2"/>
          </rPr>
          <t xml:space="preserve">validate_inputs.py </t>
        </r>
        <r>
          <rPr>
            <sz val="10"/>
            <rFont val="FreeSans"/>
            <family val="2"/>
          </rPr>
          <t xml:space="preserve">จะคำนวณเส้นทางและงบซ้ำทุกฉาก</t>
        </r>
      </text>
    </comment>
  </commentList>
</comments>
</file>

<file path=xl/sharedStrings.xml><?xml version="1.0" encoding="utf-8"?>
<sst xmlns="http://schemas.openxmlformats.org/spreadsheetml/2006/main" count="1791" uniqueCount="1101">
  <si>
    <t xml:space="preserve">BCS · ไฟล์ข้อมูลตั้งต้น v1 (สำหรับ demo LK-RICH)</t>
  </si>
  <si>
    <t xml:space="preserve">ใช้ทำอะไร</t>
  </si>
  <si>
    <t xml:space="preserve">ช่วงที่ 1 (ตอนนี้): ข้อมูลสมมติทั้งหมด ใช้ seed แอปสำหรับ demo · ช่วงที่ 2 (หลัง demo): ใช้เป็นแบบฟอร์มเก็บข้อมูลจริงจาก LK-RICH แล้วทำ version 2</t>
  </si>
  <si>
    <t xml:space="preserve">ข้อห้าม</t>
  </si>
  <si>
    <t xml:space="preserve">ห้ามใส่ข้อมูลจริงของพนักงานหรือตัวเลขจริงของ LK-RICH จนกว่าจะตกลงเรื่องที่ตั้งข้อมูล (OQ-19) · ชื่อและโลโก้บริษัทใส่ได้ถ้าได้รับอนุญาต</t>
  </si>
  <si>
    <t xml:space="preserve">ตรวจไฟล์</t>
  </si>
  <si>
    <t xml:space="preserve">python3 validate_inputs.py BCS_inputs_v1_demo.xlsx --spec spec.md   (บันทึกไฟล์จาก Excel หรือ LibreOffice ก่อน เพื่อให้มีค่าที่คำนวณแล้วของสูตร)</t>
  </si>
  <si>
    <t xml:space="preserve">สัญลักษณ์</t>
  </si>
  <si>
    <t xml:space="preserve">หัวคอลัมน์สีน้ำเงินเข้ม</t>
  </si>
  <si>
    <t xml:space="preserve">ข้อมูลที่ต้องได้ของจริงจาก LK-RICH ใน version 2</t>
  </si>
  <si>
    <t xml:space="preserve">หัวคอลัมน์สีเทา</t>
  </si>
  <si>
    <t xml:space="preserve">ค่าที่ BCS ตั้งให้ใน demo เปลี่ยนได้หลังคุยกับลูกค้า</t>
  </si>
  <si>
    <t xml:space="preserve">หัวคอลัมน์สีทอง</t>
  </si>
  <si>
    <t xml:space="preserve">ใช้เฉพาะ demo</t>
  </si>
  <si>
    <t xml:space="preserve">ช่องสีเหลือง</t>
  </si>
  <si>
    <t xml:space="preserve">ช่องให้กรอกคำตอบระหว่างประชุม</t>
  </si>
  <si>
    <t xml:space="preserve">ตัวอักษรน้ำเงิน / ดำ</t>
  </si>
  <si>
    <t xml:space="preserve">น้ำเงิน = ค่าที่พิมพ์ลงไป · ดำ = สูตร ห้ามแก้</t>
  </si>
  <si>
    <t xml:space="preserve">โครงตาราง</t>
  </si>
  <si>
    <t xml:space="preserve">แถว 1 = ชื่อคอลัมน์สำหรับโปรแกรม (ห้ามแก้) · แถว 2 = คำอธิบายภาษาไทย · ข้อมูลเริ่มแถว 3 · แถวว่างแรกคือจุดสิ้นสุดตาราง</t>
  </si>
  <si>
    <t xml:space="preserve">ชีต</t>
  </si>
  <si>
    <t xml:space="preserve">Inputs</t>
  </si>
  <si>
    <t xml:space="preserve">รายการข้อมูลที่ต้องขอจาก LK-RICH หลัง demo พร้อมค่าที่ใช้ใน demo และสถานะ</t>
  </si>
  <si>
    <t xml:space="preserve">Questions</t>
  </si>
  <si>
    <t xml:space="preserve">คำถามที่ต้องตัดสินใจ แยกตามการประชุม พร้อมค่าเริ่มต้นที่ใช้ใน demo และช่องคำตอบ</t>
  </si>
  <si>
    <t xml:space="preserve">Org</t>
  </si>
  <si>
    <t xml:space="preserve">ข้อมูลบริษัท ผู้มีอำนาจลงนาม และ ORG_ADMIN</t>
  </si>
  <si>
    <t xml:space="preserve">Departments · Positions · Users</t>
  </si>
  <si>
    <t xml:space="preserve">ผังแผนก ตำแหน่งที่มีอำนาจ ผู้ใช้ บทบาท และผู้ดำรงตำแหน่ง</t>
  </si>
  <si>
    <t xml:space="preserve">DOA · DOA_Policy</t>
  </si>
  <si>
    <t xml:space="preserve">ช่วงวงเงิน ผู้อนุมัติ และนโยบายของฉบับ (ตรงกับ fixture ใน spec §7.4)</t>
  </si>
  <si>
    <t xml:space="preserve">Budget</t>
  </si>
  <si>
    <t xml:space="preserve">บรรทัดงบ คอลัมน์ใช้แล้วและคงเหลือคำนวณจากคำขอย้อนหลัง</t>
  </si>
  <si>
    <t xml:space="preserve">Suppliers · Sites · RequestTypes · Holidays</t>
  </si>
  <si>
    <t xml:space="preserve">ผู้ขาย สถานที่ส่ง ประเภทคำขอ วันหยุด</t>
  </si>
  <si>
    <t xml:space="preserve">Settings</t>
  </si>
  <si>
    <t xml:space="preserve">ค่าตั้งต้นของระบบ อ้าง OQ ใน spec</t>
  </si>
  <si>
    <t xml:space="preserve">Demo_History</t>
  </si>
  <si>
    <t xml:space="preserve">คำขอย้อนหลังสมมติ 20 รายการ ให้ dashboard กระดานค้าง และ KPI มีข้อมูล (demo เท่านั้น)</t>
  </si>
  <si>
    <t xml:space="preserve">Demo_Script</t>
  </si>
  <si>
    <t xml:space="preserve">ลำดับฉาก demo พร้อมยอดเงินที่เลือกให้ชนแต่ละกฎ (demo เท่านั้น)</t>
  </si>
  <si>
    <t xml:space="preserve">id</t>
  </si>
  <si>
    <t xml:space="preserve">group</t>
  </si>
  <si>
    <t xml:space="preserve">item</t>
  </si>
  <si>
    <t xml:space="preserve">usedFor</t>
  </si>
  <si>
    <t xml:space="preserve">demoValue</t>
  </si>
  <si>
    <t xml:space="preserve">provider</t>
  </si>
  <si>
    <t xml:space="preserve">neededBefore</t>
  </si>
  <si>
    <t xml:space="preserve">ref</t>
  </si>
  <si>
    <t xml:space="preserve">sheet</t>
  </si>
  <si>
    <t xml:space="preserve">status</t>
  </si>
  <si>
    <t xml:space="preserve">รหัส</t>
  </si>
  <si>
    <t xml:space="preserve">กลุ่ม</t>
  </si>
  <si>
    <t xml:space="preserve">ข้อมูลที่ต้องขอ</t>
  </si>
  <si>
    <t xml:space="preserve">ใช้ทำอะไรในระบบ</t>
  </si>
  <si>
    <t xml:space="preserve">ค่าที่ใช้ใน demo</t>
  </si>
  <si>
    <t xml:space="preserve">ขอจากใคร</t>
  </si>
  <si>
    <t xml:space="preserve">ต้องมีก่อนขั้น</t>
  </si>
  <si>
    <t xml:space="preserve">อ้างอิง spec</t>
  </si>
  <si>
    <t xml:space="preserve">กรอกที่ชีต</t>
  </si>
  <si>
    <t xml:space="preserve">สถานะ DEMO รอข้อมูล ได้แล้ว</t>
  </si>
  <si>
    <t xml:space="preserve">IN-01</t>
  </si>
  <si>
    <t xml:space="preserve">องค์กร</t>
  </si>
  <si>
    <t xml:space="preserve">ชื่อจดทะเบียน เลขผู้เสียภาษี สาขา ที่อยู่ โลโก้</t>
  </si>
  <si>
    <t xml:space="preserve">หัวเอกสาร PR/PO และข้อมูลบริษัท (§6.2)</t>
  </si>
  <si>
    <t xml:space="preserve">บริษัท เดโม่ ก่อสร้าง จำกัด (สมมติ)</t>
  </si>
  <si>
    <t xml:space="preserve">บัญชี / ธุรการ</t>
  </si>
  <si>
    <t xml:space="preserve">S1</t>
  </si>
  <si>
    <t xml:space="preserve">P0-01</t>
  </si>
  <si>
    <t xml:space="preserve">DEMO</t>
  </si>
  <si>
    <t xml:space="preserve">IN-02</t>
  </si>
  <si>
    <t xml:space="preserve">ผังองค์กร: สายงาน ฝ่าย แผนก และสายบังคับบัญชา</t>
  </si>
  <si>
    <t xml:space="preserve">engine หาผู้อนุมัติโดยไล่ตามผัง (BR-DOA-04)</t>
  </si>
  <si>
    <t xml:space="preserve">7 แผนกสมมติ</t>
  </si>
  <si>
    <t xml:space="preserve">HR</t>
  </si>
  <si>
    <t xml:space="preserve">S2</t>
  </si>
  <si>
    <t xml:space="preserve">Departments</t>
  </si>
  <si>
    <t xml:space="preserve">IN-03</t>
  </si>
  <si>
    <t xml:space="preserve">ตำแหน่งที่มีอำนาจอนุมัติ และใครดำรงตำแหน่งแต่ละที่</t>
  </si>
  <si>
    <t xml:space="preserve">ผู้อนุมัติจริงของแต่ละช่วงวงเงิน</t>
  </si>
  <si>
    <t xml:space="preserve">DM VP COO CEO PROC_MGR</t>
  </si>
  <si>
    <t xml:space="preserve">HR + ผู้บริหาร</t>
  </si>
  <si>
    <t xml:space="preserve">Positions</t>
  </si>
  <si>
    <t xml:space="preserve">IN-04</t>
  </si>
  <si>
    <t xml:space="preserve">ผู้ใช้</t>
  </si>
  <si>
    <t xml:space="preserve">รายชื่อผู้ใช้: ชื่อ อีเมลบริษัท แผนก บทบาท</t>
  </si>
  <si>
    <t xml:space="preserve">สร้างบัญชีและสิทธิ์ (§2.2)</t>
  </si>
  <si>
    <t xml:space="preserve">18 ผู้ใช้สมมติ</t>
  </si>
  <si>
    <t xml:space="preserve">HR / IT</t>
  </si>
  <si>
    <t xml:space="preserve">Users</t>
  </si>
  <si>
    <t xml:space="preserve">IN-05</t>
  </si>
  <si>
    <t xml:space="preserve">ORG_ADMIN อย่างน้อย 2 คน และผู้มีอำนาจลงนามตามสัญญา</t>
  </si>
  <si>
    <t xml:space="preserve">ดูแลระบบและอนุมัติชุดตั้งต้น (BR-DOA-19)</t>
  </si>
  <si>
    <t xml:space="preserve">admin admin2 · ceo</t>
  </si>
  <si>
    <t xml:space="preserve">ผู้บริหาร</t>
  </si>
  <si>
    <t xml:space="preserve">OQ-31</t>
  </si>
  <si>
    <t xml:space="preserve">IN-06</t>
  </si>
  <si>
    <t xml:space="preserve">DOA</t>
  </si>
  <si>
    <t xml:space="preserve">เอกสารระเบียบอำนาจอนุมัติฉบับปัจจุบัน</t>
  </si>
  <si>
    <t xml:space="preserve">DOA ฉบับแรกของลูกค้า (§7.4)</t>
  </si>
  <si>
    <t xml:space="preserve">วงเงินตาม proposal v1.2</t>
  </si>
  <si>
    <t xml:space="preserve">ผู้บริหาร / ตรวจสอบภายใน</t>
  </si>
  <si>
    <t xml:space="preserve">IN-07</t>
  </si>
  <si>
    <t xml:space="preserve">งบ</t>
  </si>
  <si>
    <t xml:space="preserve">cost center และรหัสบัญชีค่าใช้จ่าย</t>
  </si>
  <si>
    <t xml:space="preserve">ผูกบรรทัดงบกับบัญชีและไฟล์ส่ง Express</t>
  </si>
  <si>
    <t xml:space="preserve">รหัสสมมติ</t>
  </si>
  <si>
    <t xml:space="preserve">บัญชี</t>
  </si>
  <si>
    <t xml:space="preserve">S3</t>
  </si>
  <si>
    <t xml:space="preserve">P0-10</t>
  </si>
  <si>
    <t xml:space="preserve">IN-08</t>
  </si>
  <si>
    <t xml:space="preserve">งบประมาณปีนี้รายแผนกหรือรายบรรทัด (Excel)</t>
  </si>
  <si>
    <t xml:space="preserve">คุมงบก่อนถึงผู้อนุมัติ (BR-BUD-02)</t>
  </si>
  <si>
    <t xml:space="preserve">5 บรรทัด รวม 2,950,000 บาท</t>
  </si>
  <si>
    <t xml:space="preserve">บัญชี / งบประมาณ</t>
  </si>
  <si>
    <t xml:space="preserve">OQ-11</t>
  </si>
  <si>
    <t xml:space="preserve">IN-09</t>
  </si>
  <si>
    <t xml:space="preserve">ผู้ขาย</t>
  </si>
  <si>
    <t xml:space="preserve">รายชื่อผู้ขายที่ใช้บ่อย: ชื่อ เลขผู้เสียภาษี สาขา จด VAT อีเมล</t>
  </si>
  <si>
    <t xml:space="preserve">ออก PO และส่งอีเมล</t>
  </si>
  <si>
    <t xml:space="preserve">5 รายสมมติ</t>
  </si>
  <si>
    <t xml:space="preserve">จัดซื้อ</t>
  </si>
  <si>
    <t xml:space="preserve">S4</t>
  </si>
  <si>
    <t xml:space="preserve">OQ-22</t>
  </si>
  <si>
    <t xml:space="preserve">Suppliers</t>
  </si>
  <si>
    <t xml:space="preserve">IN-10</t>
  </si>
  <si>
    <t xml:space="preserve">สถานที่ส่งของและไซต์งานที่เปิดอยู่</t>
  </si>
  <si>
    <t xml:space="preserve">รวม PR ตามสถานที่ส่ง (BR-CONS-01)</t>
  </si>
  <si>
    <t xml:space="preserve">3 แห่งสมมติ</t>
  </si>
  <si>
    <t xml:space="preserve">จัดซื้อ / ก่อสร้าง</t>
  </si>
  <si>
    <t xml:space="preserve">OQ-13</t>
  </si>
  <si>
    <t xml:space="preserve">Sites</t>
  </si>
  <si>
    <t xml:space="preserve">IN-11</t>
  </si>
  <si>
    <t xml:space="preserve">แบบฟอร์มขอซื้อขอจ้างที่ใช้อยู่ (ปิดข้อมูลอ่อนไหว)</t>
  </si>
  <si>
    <t xml:space="preserve">ประเภทคำขอและฟอร์ม (§7.9)</t>
  </si>
  <si>
    <t xml:space="preserve">5 ประเภท</t>
  </si>
  <si>
    <t xml:space="preserve">OQ-08</t>
  </si>
  <si>
    <t xml:space="preserve">RequestTypes</t>
  </si>
  <si>
    <t xml:space="preserve">IN-12</t>
  </si>
  <si>
    <t xml:space="preserve">แบบฟอร์ม PR/PO ที่พิมพ์อยู่ และรูปแบบเลขเอกสาร</t>
  </si>
  <si>
    <t xml:space="preserve">แม่แบบ PDF และเลขเอกสาร</t>
  </si>
  <si>
    <t xml:space="preserve">PR-{BE}-{SEQ5}</t>
  </si>
  <si>
    <t xml:space="preserve">จัดซื้อ / บัญชี</t>
  </si>
  <si>
    <t xml:space="preserve">OQ-12</t>
  </si>
  <si>
    <t xml:space="preserve">IN-13</t>
  </si>
  <si>
    <t xml:space="preserve">ปฏิทิน</t>
  </si>
  <si>
    <t xml:space="preserve">วันหยุดบริษัทปีนี้และปีหน้า และเวลาทำการ</t>
  </si>
  <si>
    <t xml:space="preserve">นับ SLA เป็นชั่วโมงทำการ (§7.8)</t>
  </si>
  <si>
    <t xml:space="preserve">จ.–ศ. 08:30–17:30 + วันหยุดตัวอย่าง</t>
  </si>
  <si>
    <t xml:space="preserve">OQ-14</t>
  </si>
  <si>
    <t xml:space="preserve">Holidays</t>
  </si>
  <si>
    <t xml:space="preserve">IN-14</t>
  </si>
  <si>
    <t xml:space="preserve">ไฟล์ตัวอย่างที่ Express นำเข้าได้ และเวอร์ชัน Express</t>
  </si>
  <si>
    <t xml:space="preserve">ไฟล์ส่งออกให้บัญชี (§7.13)</t>
  </si>
  <si>
    <t xml:space="preserve">ไฟล์สมมติ</t>
  </si>
  <si>
    <t xml:space="preserve">OQ-10</t>
  </si>
  <si>
    <t xml:space="preserve">IN-15</t>
  </si>
  <si>
    <t xml:space="preserve">รายงาน</t>
  </si>
  <si>
    <t xml:space="preserve">รายชื่อรายงาน 7 ฉบับตาม proposal v1.2 และตัวอย่างรายงานที่ใช้อยู่</t>
  </si>
  <si>
    <t xml:space="preserve">รายงาน R-01 ถึง R-07</t>
  </si>
  <si>
    <t xml:space="preserve">ยังไม่มี (รายชื่ออยู่ใน proposal ของ BCS)</t>
  </si>
  <si>
    <t xml:space="preserve">BCS + บัญชี</t>
  </si>
  <si>
    <t xml:space="preserve">OQ-09</t>
  </si>
  <si>
    <t xml:space="preserve">-</t>
  </si>
  <si>
    <t xml:space="preserve">รอข้อมูล</t>
  </si>
  <si>
    <t xml:space="preserve">IN-16</t>
  </si>
  <si>
    <t xml:space="preserve">LINE</t>
  </si>
  <si>
    <t xml:space="preserve">LINE OA ของบริษัท: มีหรือยัง ใครเป็นเจ้าของ แพ็กเกจ</t>
  </si>
  <si>
    <t xml:space="preserve">ช่องทางอนุมัติหลัก (§9.2)</t>
  </si>
  <si>
    <t xml:space="preserve">OA ของ BCS</t>
  </si>
  <si>
    <t xml:space="preserve">การตลาด / IT</t>
  </si>
  <si>
    <t xml:space="preserve">S5</t>
  </si>
  <si>
    <t xml:space="preserve">OQ-15</t>
  </si>
  <si>
    <t xml:space="preserve">IN-17</t>
  </si>
  <si>
    <t xml:space="preserve">IT</t>
  </si>
  <si>
    <t xml:space="preserve">ระบบอีเมลบริษัท (Google หรือ Microsoft) และโดเมนสำหรับส่ง PO</t>
  </si>
  <si>
    <t xml:space="preserve">SSO และอีเมล PO (FR-AUTH-004)</t>
  </si>
  <si>
    <t xml:space="preserve">อีเมลทดสอบของ BCS</t>
  </si>
  <si>
    <t xml:space="preserve">IN-18</t>
  </si>
  <si>
    <t xml:space="preserve">KPI</t>
  </si>
  <si>
    <t xml:space="preserve">ตัวเลขปัจจุบัน: เวลา PR ถึง PO งานค้าง สัดส่วนการซื้อนอกระบบ</t>
  </si>
  <si>
    <t xml:space="preserve">baseline ของรีวิว 60 วัน (§11.4)</t>
  </si>
  <si>
    <t xml:space="preserve">ไม่มี</t>
  </si>
  <si>
    <t xml:space="preserve">go-live</t>
  </si>
  <si>
    <t xml:space="preserve">P0-09</t>
  </si>
  <si>
    <t xml:space="preserve">IN-19</t>
  </si>
  <si>
    <t xml:space="preserve">ขนาดงาน</t>
  </si>
  <si>
    <t xml:space="preserve">จำนวน PR PO ต่อเดือน และจำนวนผู้ใช้</t>
  </si>
  <si>
    <t xml:space="preserve">ขนาดระบบและราคา</t>
  </si>
  <si>
    <t xml:space="preserve">20 คำขอย้อนหลังสมมติ</t>
  </si>
  <si>
    <t xml:space="preserve">A-04</t>
  </si>
  <si>
    <t xml:space="preserve">IN-20</t>
  </si>
  <si>
    <t xml:space="preserve">PDPA</t>
  </si>
  <si>
    <t xml:space="preserve">DPO นโยบาย PDPA และการอนุมัติที่ตั้งข้อมูล</t>
  </si>
  <si>
    <t xml:space="preserve">ใช้ข้อมูลจริงได้เมื่อไร (§13)</t>
  </si>
  <si>
    <t xml:space="preserve">ข้อมูลสมมติทั้งหมด</t>
  </si>
  <si>
    <t xml:space="preserve">กฎหมาย / DPO</t>
  </si>
  <si>
    <t xml:space="preserve">ก่อนใช้ข้อมูลจริง</t>
  </si>
  <si>
    <t xml:space="preserve">OQ-19</t>
  </si>
  <si>
    <t xml:space="preserve">IN-21</t>
  </si>
  <si>
    <t xml:space="preserve">ผู้ใช้จริงฝ่ายละอย่างน้อย 1 คนที่จะทดลองใช้</t>
  </si>
  <si>
    <t xml:space="preserve">เกณฑ์ผ่านแต่ละขั้น (§16.2)</t>
  </si>
  <si>
    <t xml:space="preserve">ผู้ใช้สมมติ</t>
  </si>
  <si>
    <t xml:space="preserve">P0-14</t>
  </si>
  <si>
    <t xml:space="preserve">IN-22</t>
  </si>
  <si>
    <t xml:space="preserve">ชั้น 2</t>
  </si>
  <si>
    <t xml:space="preserve">สเปกไฟล์จ่ายเงินของธนาคารที่ใช้</t>
  </si>
  <si>
    <t xml:space="preserve">ไฟล์ Batch Payment (S9)</t>
  </si>
  <si>
    <t xml:space="preserve">—</t>
  </si>
  <si>
    <t xml:space="preserve">การเงิน + ธนาคาร</t>
  </si>
  <si>
    <t xml:space="preserve">S9</t>
  </si>
  <si>
    <t xml:space="preserve">P0-03</t>
  </si>
  <si>
    <t xml:space="preserve">IN-23</t>
  </si>
  <si>
    <t xml:space="preserve">ชั้น 4</t>
  </si>
  <si>
    <t xml:space="preserve">ตัวอย่างเอกสารจริงสำหรับชุดประเมิน AI</t>
  </si>
  <si>
    <t xml:space="preserve">อ่านเอกสารด้วย AI (S13)</t>
  </si>
  <si>
    <t xml:space="preserve">บัญชี / จัดซื้อ</t>
  </si>
  <si>
    <t xml:space="preserve">S13</t>
  </si>
  <si>
    <t xml:space="preserve">P0-02</t>
  </si>
  <si>
    <t xml:space="preserve">IN-24</t>
  </si>
  <si>
    <t xml:space="preserve">ตัวอย่างไฟล์ e-Tax Invoice จากผู้ขายจริง และรายชื่อผู้ขายที่ออก e-Tax</t>
  </si>
  <si>
    <t xml:space="preserve">อ่าน e-Tax มาเติมฟอร์ม (BR-IVC-05)</t>
  </si>
  <si>
    <t xml:space="preserve">ไฟล์ที่เทสต์สร้างเอง</t>
  </si>
  <si>
    <t xml:space="preserve">OQ-35</t>
  </si>
  <si>
    <t xml:space="preserve">IN-25</t>
  </si>
  <si>
    <t xml:space="preserve">แม่แบบข้อตกลงการประมวลผลข้อมูล (DPA) ของบริษัท</t>
  </si>
  <si>
    <t xml:space="preserve">กฎ ATT-DPA (BR-FORM-05)</t>
  </si>
  <si>
    <t xml:space="preserve">ยังไม่มี</t>
  </si>
  <si>
    <t xml:space="preserve">BR-FORM-05</t>
  </si>
  <si>
    <t xml:space="preserve">meeting</t>
  </si>
  <si>
    <t xml:space="preserve">askWhom</t>
  </si>
  <si>
    <t xml:space="preserve">question</t>
  </si>
  <si>
    <t xml:space="preserve">whyItMatters</t>
  </si>
  <si>
    <t xml:space="preserve">demoDefault</t>
  </si>
  <si>
    <t xml:space="preserve">answer</t>
  </si>
  <si>
    <t xml:space="preserve">docsToRequest</t>
  </si>
  <si>
    <t xml:space="preserve">ประชุม A ผู้บริหาร B จัดซื้อ C บัญชี D หน้างาน E IT HR กฎหมาย BCS ภายใน</t>
  </si>
  <si>
    <t xml:space="preserve">ถามใคร</t>
  </si>
  <si>
    <t xml:space="preserve">คำถาม</t>
  </si>
  <si>
    <t xml:space="preserve">มีผลกับอะไร</t>
  </si>
  <si>
    <t xml:space="preserve">คำตอบ (กรอกระหว่างประชุม)</t>
  </si>
  <si>
    <t xml:space="preserve">เอกสารที่ขอ</t>
  </si>
  <si>
    <t xml:space="preserve">Q-01</t>
  </si>
  <si>
    <t xml:space="preserve">A</t>
  </si>
  <si>
    <t xml:space="preserve">CEO COO CFO</t>
  </si>
  <si>
    <t xml:space="preserve">อำนาจอนุมัติแต่ละช่วงวงเงินคือคนเดียว หรือต้องผ่านเป็นสาย (เช่น 50,000 ผ่าน DM แล้ว VP) และถ้าเป็นสาย คนเดียวกันปรากฏสองขั้นให้รวมไหม</t>
  </si>
  <si>
    <t xml:space="preserve">เปลี่ยนโครง DOA ทั้งหมด</t>
  </si>
  <si>
    <t xml:space="preserve">คนเดียวต่อช่วงตาม proposal · รวมขั้นซ้ำ</t>
  </si>
  <si>
    <t xml:space="preserve">OQ-01 OQ-05</t>
  </si>
  <si>
    <t xml:space="preserve">เอกสารระเบียบอำนาจอนุมัติ</t>
  </si>
  <si>
    <t xml:space="preserve">Q-02</t>
  </si>
  <si>
    <t xml:space="preserve">CFO</t>
  </si>
  <si>
    <t xml:space="preserve">วงเงิน DOA นับรวม VAT หรือไม่</t>
  </si>
  <si>
    <t xml:space="preserve">ยอดใกล้ขอบไปผิดคน (ฉาก 5)</t>
  </si>
  <si>
    <t xml:space="preserve">รวม VAT</t>
  </si>
  <si>
    <t xml:space="preserve">OQ-02</t>
  </si>
  <si>
    <t xml:space="preserve">Q-03</t>
  </si>
  <si>
    <t xml:space="preserve">CEO COO</t>
  </si>
  <si>
    <t xml:space="preserve">ผู้มีอำนาจขอซื้อเอง ให้ยกไปผู้อนุมัติช่วงถัดไปแบบใน demo ได้ไหม</t>
  </si>
  <si>
    <t xml:space="preserve">ผู้ขอห้ามอนุมัติตัวเอง</t>
  </si>
  <si>
    <t xml:space="preserve">ยกไปช่วงถัดไป</t>
  </si>
  <si>
    <t xml:space="preserve">BR-DOA-06</t>
  </si>
  <si>
    <t xml:space="preserve">Q-04</t>
  </si>
  <si>
    <t xml:space="preserve">CEO CFO</t>
  </si>
  <si>
    <t xml:space="preserve">ยอดเท่าไรที่ต้องยืนยัน PIN ก่อนอนุมัติบนมือถือ</t>
  </si>
  <si>
    <t xml:space="preserve">ความปลอดภัยเทียบความสะดวก</t>
  </si>
  <si>
    <t xml:space="preserve">100,000 บาท</t>
  </si>
  <si>
    <t xml:space="preserve">OQ-07</t>
  </si>
  <si>
    <t xml:space="preserve">Q-05</t>
  </si>
  <si>
    <t xml:space="preserve">แต่ละขั้นควรตัดสินภายในกี่ชั่วโมงทำการ และเลยแล้วให้ส่งต่ออย่างไร</t>
  </si>
  <si>
    <t xml:space="preserve">การเตือนและการส่งต่ออัตโนมัติ</t>
  </si>
  <si>
    <t xml:space="preserve">DM VP COO 8 ชม. · CEO 16 ชม. · เตือนที่ 50% · เพิ่มผู้อนุมัติช่วงถัดไปหลังเกิน 8 ชม.</t>
  </si>
  <si>
    <t xml:space="preserve">OQ-14 OQ-06</t>
  </si>
  <si>
    <t xml:space="preserve">Q-06</t>
  </si>
  <si>
    <t xml:space="preserve">CEO ตรวจสอบภายใน</t>
  </si>
  <si>
    <t xml:space="preserve">ใครอนุมัติชุดตั้งต้น (ผู้ดำรงตำแหน่งและ DOA ฉบับแรก) และใครอนุมัติเมื่อเปลี่ยนตัว CEO</t>
  </si>
  <si>
    <t xml:space="preserve">ฝ่ายตรวจสอบภายในจะถามแน่นอน</t>
  </si>
  <si>
    <t xml:space="preserve">ผู้มีอำนาจลงนามตามสัญญา · ORG_ADMIN อีกคนที่ไม่ใช่ผู้เสนอ</t>
  </si>
  <si>
    <t xml:space="preserve">OQ-31 OQ-32</t>
  </si>
  <si>
    <t xml:space="preserve">สัญญาหรือหนังสือมอบอำนาจ</t>
  </si>
  <si>
    <t xml:space="preserve">Q-07</t>
  </si>
  <si>
    <t xml:space="preserve">ใครดูแล DOA ในระบบ และมี ORG_ADMIN อย่างน้อย 2 คนได้ไหม</t>
  </si>
  <si>
    <t xml:space="preserve">การแยกหน้าที่</t>
  </si>
  <si>
    <t xml:space="preserve">ORG_ADMIN 2 คน</t>
  </si>
  <si>
    <t xml:space="preserve">OQ-34</t>
  </si>
  <si>
    <t xml:space="preserve">Q-08</t>
  </si>
  <si>
    <t xml:space="preserve">CEO กฎหมาย</t>
  </si>
  <si>
    <t xml:space="preserve">เก็บข้อมูลบน cloud ภูมิภาคสิงคโปร์ได้ไหม หรือต้องอยู่ในไทย</t>
  </si>
  <si>
    <t xml:space="preserve">ใช้ข้อมูลจริงไม่ได้จนกว่าจะตอบ</t>
  </si>
  <si>
    <t xml:space="preserve">Neon สิงคโปร์</t>
  </si>
  <si>
    <t xml:space="preserve">นโยบายข้อมูลของบริษัท</t>
  </si>
  <si>
    <t xml:space="preserve">Q-09</t>
  </si>
  <si>
    <t xml:space="preserve">ตัวชี้วัดความสำเร็จของการทดลองใช้ และค่าปัจจุบัน</t>
  </si>
  <si>
    <t xml:space="preserve">ใช้รีวิว 60 วัน</t>
  </si>
  <si>
    <t xml:space="preserve">เป้าใน §1.3</t>
  </si>
  <si>
    <t xml:space="preserve">ตัวเลขปัจจุบันถ้ามี</t>
  </si>
  <si>
    <t xml:space="preserve">Q-10</t>
  </si>
  <si>
    <t xml:space="preserve">ยืนยันขอบเขตชั้น 1 และต้องการระบบจ่ายเงิน (ชั้น 2) เมื่อไร</t>
  </si>
  <si>
    <t xml:space="preserve">วางแผนงานและราคา</t>
  </si>
  <si>
    <t xml:space="preserve">S1–S5 ตามแผน</t>
  </si>
  <si>
    <t xml:space="preserve">§1.5</t>
  </si>
  <si>
    <t xml:space="preserve">Q-11</t>
  </si>
  <si>
    <t xml:space="preserve">B</t>
  </si>
  <si>
    <t xml:space="preserve">ประเภทคำขอที่ใช้จริง 4–6 แบบ และฟิลด์ที่ต้องกรอกของแต่ละแบบ</t>
  </si>
  <si>
    <t xml:space="preserve">ฟอร์มและแคตตาล็อก</t>
  </si>
  <si>
    <t xml:space="preserve">5 ประเภทใน demo</t>
  </si>
  <si>
    <t xml:space="preserve">ฟอร์มขอซื้อขอจ้างปัจจุบัน</t>
  </si>
  <si>
    <t xml:space="preserve">Q-12</t>
  </si>
  <si>
    <t xml:space="preserve">ยอดเท่าไรต้องมีใบเสนอราคา 3 ราย และกรณีผู้ขายรายเดียวต้องมีอะไร</t>
  </si>
  <si>
    <t xml:space="preserve">กฎเอกสารแนบ</t>
  </si>
  <si>
    <t xml:space="preserve">เกิน 100,000 รวม VAT</t>
  </si>
  <si>
    <t xml:space="preserve">Q-13</t>
  </si>
  <si>
    <t xml:space="preserve">รวม PR เป็น PO วันละกี่รอบ เวลาไหน</t>
  </si>
  <si>
    <t xml:space="preserve">รอบรวม PR</t>
  </si>
  <si>
    <t xml:space="preserve">10:00 และ 15:00</t>
  </si>
  <si>
    <t xml:space="preserve">Q-14</t>
  </si>
  <si>
    <t xml:space="preserve">มีกรณีออก PO โดยไม่มี PR ไหม</t>
  </si>
  <si>
    <t xml:space="preserve">ประตูเดียว</t>
  </si>
  <si>
    <t xml:space="preserve">ไม่อนุญาต</t>
  </si>
  <si>
    <t xml:space="preserve">OQ-24</t>
  </si>
  <si>
    <t xml:space="preserve">Q-15</t>
  </si>
  <si>
    <t xml:space="preserve">การขอเพิ่มผู้ขายรายใหม่ต้องมีคนอนุมัติไหม</t>
  </si>
  <si>
    <t xml:space="preserve">ทะเบียนผู้ขาย</t>
  </si>
  <si>
    <t xml:space="preserve">เข้าคิวจัดซื้อ ไม่ผ่าน DOA</t>
  </si>
  <si>
    <t xml:space="preserve">OQ-23</t>
  </si>
  <si>
    <t xml:space="preserve">รายชื่อผู้ขายปัจจุบัน</t>
  </si>
  <si>
    <t xml:space="preserve">Q-16</t>
  </si>
  <si>
    <t xml:space="preserve">จัดซื้อ IT</t>
  </si>
  <si>
    <t xml:space="preserve">อีเมล PO ถึงผู้ขายส่งจากโดเมนบริษัทได้ไหม ใครรับ reply</t>
  </si>
  <si>
    <t xml:space="preserve">ความน่าเชื่อถือของอีเมล</t>
  </si>
  <si>
    <t xml:space="preserve">โดเมน BCS + reply-to จัดซื้อ</t>
  </si>
  <si>
    <t xml:space="preserve">Q-17</t>
  </si>
  <si>
    <t xml:space="preserve">จัดซื้อ บัญชี</t>
  </si>
  <si>
    <t xml:space="preserve">เอกสาร PR/PO ที่พิมพ์ต้องมีลายเซ็น หรือแค่ข้อมูลการอนุมัติ</t>
  </si>
  <si>
    <t xml:space="preserve">แม่แบบเอกสาร</t>
  </si>
  <si>
    <t xml:space="preserve">ส่วนการอนุมัติแบบข้อมูล</t>
  </si>
  <si>
    <t xml:space="preserve">OQ-25</t>
  </si>
  <si>
    <t xml:space="preserve">แบบฟอร์ม PR/PO ที่พิมพ์อยู่</t>
  </si>
  <si>
    <t xml:space="preserve">Q-18</t>
  </si>
  <si>
    <t xml:space="preserve">C</t>
  </si>
  <si>
    <t xml:space="preserve">ปีงบเริ่มเดือนไหน และเลขเอกสารรีเซ็ตตามปีปฏิทินหรือปีงบ</t>
  </si>
  <si>
    <t xml:space="preserve">งบและเลขเอกสาร</t>
  </si>
  <si>
    <t xml:space="preserve">ม.ค.–ธ.ค. · รีเซ็ตตามปี พ.ศ.</t>
  </si>
  <si>
    <t xml:space="preserve">ไฟล์งบประมาณปีนี้</t>
  </si>
  <si>
    <t xml:space="preserve">Q-19</t>
  </si>
  <si>
    <t xml:space="preserve">งบนับยอดก่อน VAT ใช่ไหม</t>
  </si>
  <si>
    <t xml:space="preserve">การตัดงบ</t>
  </si>
  <si>
    <t xml:space="preserve">ก่อน VAT</t>
  </si>
  <si>
    <t xml:space="preserve">OQ-03</t>
  </si>
  <si>
    <t xml:space="preserve">Q-20</t>
  </si>
  <si>
    <t xml:space="preserve">ใช้งบของฝ่ายอื่นได้ไหม และให้ผู้อนุมัติของฝ่ายเจ้าของงบใช่ไหม</t>
  </si>
  <si>
    <t xml:space="preserve">ผู้อนุมัติข้ามฝ่าย</t>
  </si>
  <si>
    <t xml:space="preserve">ฝ่ายเจ้าของงบ</t>
  </si>
  <si>
    <t xml:space="preserve">OQ-27</t>
  </si>
  <si>
    <t xml:space="preserve">Q-21</t>
  </si>
  <si>
    <t xml:space="preserve">งบที่ค้างตอนสิ้นปียกไปปีหน้าไหม</t>
  </si>
  <si>
    <t xml:space="preserve">การปิดปีงบ</t>
  </si>
  <si>
    <t xml:space="preserve">ไม่ยกอัตโนมัติ</t>
  </si>
  <si>
    <t xml:space="preserve">OQ-26</t>
  </si>
  <si>
    <t xml:space="preserve">Q-22</t>
  </si>
  <si>
    <t xml:space="preserve">คิด VAT ระดับเอกสารหรือรายบรรทัด</t>
  </si>
  <si>
    <t xml:space="preserve">ยอดต่างกันได้หลักสตางค์</t>
  </si>
  <si>
    <t xml:space="preserve">ระดับเอกสาร</t>
  </si>
  <si>
    <t xml:space="preserve">OQ-17</t>
  </si>
  <si>
    <t xml:space="preserve">Q-23</t>
  </si>
  <si>
    <t xml:space="preserve">คำอ่านจำนวนเงิน 101 บาท เขียน "หนึ่งร้อยหนึ่ง" หรือ "หนึ่งร้อยเอ็ด"</t>
  </si>
  <si>
    <t xml:space="preserve">เอกสารพิมพ์</t>
  </si>
  <si>
    <t xml:space="preserve">หนึ่งร้อยหนึ่ง</t>
  </si>
  <si>
    <t xml:space="preserve">OQ-28</t>
  </si>
  <si>
    <t xml:space="preserve">Q-24</t>
  </si>
  <si>
    <t xml:space="preserve">บัญชี จัดซื้อ</t>
  </si>
  <si>
    <t xml:space="preserve">รูปแบบเลขที่ PR PO GR ที่ใช้อยู่</t>
  </si>
  <si>
    <t xml:space="preserve">ความต่อเนื่องของเอกสาร</t>
  </si>
  <si>
    <t xml:space="preserve">Q-25</t>
  </si>
  <si>
    <t xml:space="preserve">ขอไฟล์ตัวอย่างที่ Express นำเข้าได้ และเวอร์ชันของ Express · ไฟล์นำเข้าต้องอ้างรหัสเจ้าหนี้ไหม และนำเข้าทะเบียนเจ้าหนี้เป็นไฟล์ได้ไหม</t>
  </si>
  <si>
    <t xml:space="preserve">ส่งต่อให้บัญชี</t>
  </si>
  <si>
    <t xml:space="preserve">mapping ตั้งค่าได้ · ใช้ expressVendorCode</t>
  </si>
  <si>
    <t xml:space="preserve">ไฟล์ตัวอย่าง Express และทะเบียนเจ้าหนี้</t>
  </si>
  <si>
    <t xml:space="preserve">Q-26</t>
  </si>
  <si>
    <t xml:space="preserve">ยืนยันรายงาน 7 ฉบับตาม proposal และขอตัวอย่างรายงานที่ใช้จริง · ต้องการรายงานรับของแล้วยังไม่มีใบกำกับเพื่อตั้งค้างจ่ายไหม</t>
  </si>
  <si>
    <t xml:space="preserve">framework + รายงานตาม proposal</t>
  </si>
  <si>
    <t xml:space="preserve">ตัวอย่างรายงาน</t>
  </si>
  <si>
    <t xml:space="preserve">Q-27</t>
  </si>
  <si>
    <t xml:space="preserve">บัญชี กฎหมาย</t>
  </si>
  <si>
    <t xml:space="preserve">ต้องเก็บเอกสารและ log นานเท่าไร</t>
  </si>
  <si>
    <t xml:space="preserve">PDPA และกฎหมายบัญชี</t>
  </si>
  <si>
    <t xml:space="preserve">5 ปี · log 1 ปี</t>
  </si>
  <si>
    <t xml:space="preserve">OQ-30</t>
  </si>
  <si>
    <t xml:space="preserve">Q-28</t>
  </si>
  <si>
    <t xml:space="preserve">D</t>
  </si>
  <si>
    <t xml:space="preserve">หน้างาน ผู้ตรวจรับ</t>
  </si>
  <si>
    <t xml:space="preserve">ผู้ขอรับของเองได้ไหม (ผู้อนุมัติห้ามรับ)</t>
  </si>
  <si>
    <t xml:space="preserve">ได้</t>
  </si>
  <si>
    <t xml:space="preserve">OQ-04</t>
  </si>
  <si>
    <t xml:space="preserve">ขั้นตอนตรวจรับปัจจุบัน</t>
  </si>
  <si>
    <t xml:space="preserve">Q-29</t>
  </si>
  <si>
    <t xml:space="preserve">หน้างาน</t>
  </si>
  <si>
    <t xml:space="preserve">รับเกินจำนวนได้กี่ %</t>
  </si>
  <si>
    <t xml:space="preserve">variance</t>
  </si>
  <si>
    <t xml:space="preserve">0%</t>
  </si>
  <si>
    <t xml:space="preserve">OQ-20</t>
  </si>
  <si>
    <t xml:space="preserve">Q-30</t>
  </si>
  <si>
    <t xml:space="preserve">หน้างาน จัดซื้อ</t>
  </si>
  <si>
    <t xml:space="preserve">ใครอนุมัติเมื่อรับไม่ครบ ของเสีย หรือรับเกิน</t>
  </si>
  <si>
    <t xml:space="preserve">DM ของฝ่ายเจ้าของงบ</t>
  </si>
  <si>
    <t xml:space="preserve">OQ-21</t>
  </si>
  <si>
    <t xml:space="preserve">Q-31</t>
  </si>
  <si>
    <t xml:space="preserve">E</t>
  </si>
  <si>
    <t xml:space="preserve">การตลาด IT</t>
  </si>
  <si>
    <t xml:space="preserve">บริษัทมี LINE OA อยู่แล้วไหม ใครเป็นเจ้าของ แพ็กเกจอะไร</t>
  </si>
  <si>
    <t xml:space="preserve">ช่องทางหลัก</t>
  </si>
  <si>
    <t xml:space="preserve">OA ของลูกค้า</t>
  </si>
  <si>
    <t xml:space="preserve">Q-32</t>
  </si>
  <si>
    <t xml:space="preserve">ใช้อีเมลบริษัทระบบไหน (Google Workspace หรือ Microsoft 365) จะเปิด SSO ไหม</t>
  </si>
  <si>
    <t xml:space="preserve">การ login</t>
  </si>
  <si>
    <t xml:space="preserve">อีเมล + รหัสผ่าน + TOTP</t>
  </si>
  <si>
    <t xml:space="preserve">FR-AUTH-004</t>
  </si>
  <si>
    <t xml:space="preserve">Q-33</t>
  </si>
  <si>
    <t xml:space="preserve">ปฏิทินวันหยุดและเวลาทำการของบริษัท</t>
  </si>
  <si>
    <t xml:space="preserve">การนับ SLA</t>
  </si>
  <si>
    <t xml:space="preserve">จ.–ศ. 08:30–17:30</t>
  </si>
  <si>
    <t xml:space="preserve">ปฏิทินวันหยุด</t>
  </si>
  <si>
    <t xml:space="preserve">Q-34</t>
  </si>
  <si>
    <t xml:space="preserve">กฎหมาย DPO</t>
  </si>
  <si>
    <t xml:space="preserve">ผู้ติดต่อ DPO และนโยบาย PDPA ที่ต้องทำตาม</t>
  </si>
  <si>
    <t xml:space="preserve">ทำ ROPA ก่อนใช้ข้อมูลจริง</t>
  </si>
  <si>
    <t xml:space="preserve">OQ-19 OQ-30</t>
  </si>
  <si>
    <t xml:space="preserve">นโยบาย PDPA</t>
  </si>
  <si>
    <t xml:space="preserve">Q-35</t>
  </si>
  <si>
    <t xml:space="preserve">ผู้ขายออก e-Tax Invoice กี่ราย และแบบไหน (by Email หรือระบบเต็มรูปแบบ)</t>
  </si>
  <si>
    <t xml:space="preserve">อ่าน e-Tax มาเติมฟอร์ม</t>
  </si>
  <si>
    <t xml:space="preserve">รองรับทั้ง PDF/A-3 ที่ฝัง XML และไฟล์ XML</t>
  </si>
  <si>
    <t xml:space="preserve">ตัวอย่างไฟล์ e-Tax</t>
  </si>
  <si>
    <t xml:space="preserve">Q-36</t>
  </si>
  <si>
    <t xml:space="preserve">PO ไม่มีความเคลื่อนไหวกี่วันจึงเตือนให้ปิด</t>
  </si>
  <si>
    <t xml:space="preserve">งบที่ถูกถือไว้นานเกินจำเป็น</t>
  </si>
  <si>
    <t xml:space="preserve">30 วัน</t>
  </si>
  <si>
    <t xml:space="preserve">OQ-36</t>
  </si>
  <si>
    <t xml:space="preserve">Q-37</t>
  </si>
  <si>
    <t xml:space="preserve">มีแม่แบบข้อตกลงการประมวลผลข้อมูล (DPA) ไหม และผู้ขายแบบไหนต้องลงนาม</t>
  </si>
  <si>
    <t xml:space="preserve">กฎ ATT-DPA</t>
  </si>
  <si>
    <t xml:space="preserve">บังคับแนบเมื่อผู้ขายประมวลผลข้อมูลส่วนบุคคล</t>
  </si>
  <si>
    <t xml:space="preserve">แม่แบบ DPA</t>
  </si>
  <si>
    <t xml:space="preserve">B-01</t>
  </si>
  <si>
    <t xml:space="preserve">BCS</t>
  </si>
  <si>
    <t xml:space="preserve">ทีม BCS</t>
  </si>
  <si>
    <t xml:space="preserve">LIFF ใช้ LINE MINI App หรือ LINE Login channel ใน production</t>
  </si>
  <si>
    <t xml:space="preserve">การเผยแพร่และการ login ใน LINE</t>
  </si>
  <si>
    <t xml:space="preserve">MINI App + ตรวจ ID token เอง</t>
  </si>
  <si>
    <t xml:space="preserve">OQ-16</t>
  </si>
  <si>
    <t xml:space="preserve">B-02</t>
  </si>
  <si>
    <t xml:space="preserve">วิธีสร้าง PDF</t>
  </si>
  <si>
    <t xml:space="preserve">คุณภาพภาษาไทยบนเอกสาร</t>
  </si>
  <si>
    <t xml:space="preserve">ตัดสินหลัง spike ใน S4</t>
  </si>
  <si>
    <t xml:space="preserve">OQ-18</t>
  </si>
  <si>
    <t xml:space="preserve">B-03</t>
  </si>
  <si>
    <t xml:space="preserve">ยืนยันการประกาศพระราชกฤษฎีกาคง VAT 7%</t>
  </si>
  <si>
    <t xml:space="preserve">อัตรา VAT ในระบบ</t>
  </si>
  <si>
    <t xml:space="preserve">7% และให้ PLATFORM_ADMIN ยืนยัน</t>
  </si>
  <si>
    <t xml:space="preserve">OQ-29</t>
  </si>
  <si>
    <t xml:space="preserve">B-04</t>
  </si>
  <si>
    <t xml:space="preserve">ปิดโมดูลขณะมีเอกสารค้าง</t>
  </si>
  <si>
    <t xml:space="preserve">การเปลี่ยนแพ็กเกจ</t>
  </si>
  <si>
    <t xml:space="preserve">ปฏิเสธและแสดงรายการเอกสาร</t>
  </si>
  <si>
    <t xml:space="preserve">OQ-33</t>
  </si>
  <si>
    <t xml:space="preserve">B-05</t>
  </si>
  <si>
    <t xml:space="preserve">ผู้ให้บริการอีเมล hosting และที่เก็บไฟล์</t>
  </si>
  <si>
    <t xml:space="preserve">ต้นทุนและที่ตั้งข้อมูล</t>
  </si>
  <si>
    <t xml:space="preserve">ยังไม่ตัดสิน</t>
  </si>
  <si>
    <t xml:space="preserve">ADR-031 ADR-032 ADR-033</t>
  </si>
  <si>
    <t xml:space="preserve">B-06</t>
  </si>
  <si>
    <t xml:space="preserve">ราคาและแพ็กเกจที่จะเสนอหลัง demo</t>
  </si>
  <si>
    <t xml:space="preserve">สัญญาและขอบเขต</t>
  </si>
  <si>
    <t xml:space="preserve">ตามขนาดองค์กรและโมดูล</t>
  </si>
  <si>
    <t xml:space="preserve">ADR-009</t>
  </si>
  <si>
    <t xml:space="preserve">B-07</t>
  </si>
  <si>
    <t xml:space="preserve">บริการตรวจผู้ขายของสรรพากรและ DBD ยังเปิด และเรียกจาก hosting ได้หรือไม่</t>
  </si>
  <si>
    <t xml:space="preserve">การเติมข้อมูลผู้ขายอัตโนมัติ</t>
  </si>
  <si>
    <t xml:space="preserve">โหมด stub จนกว่าจะทดสอบผ่าน</t>
  </si>
  <si>
    <t xml:space="preserve">OQ-37</t>
  </si>
  <si>
    <t xml:space="preserve">key</t>
  </si>
  <si>
    <t xml:space="preserve">value</t>
  </si>
  <si>
    <t xml:space="preserve">labelTh</t>
  </si>
  <si>
    <t xml:space="preserve">ชื่อค่า (ห้ามแก้)</t>
  </si>
  <si>
    <t xml:space="preserve">ค่า</t>
  </si>
  <si>
    <t xml:space="preserve">ความหมาย</t>
  </si>
  <si>
    <t xml:space="preserve">อ้างอิง</t>
  </si>
  <si>
    <t xml:space="preserve">code</t>
  </si>
  <si>
    <t xml:space="preserve">รหัสองค์กรในระบบ</t>
  </si>
  <si>
    <t xml:space="preserve">§6.2</t>
  </si>
  <si>
    <t xml:space="preserve">legalNameTh</t>
  </si>
  <si>
    <t xml:space="preserve">บริษัท เดโม่ ก่อสร้าง จำกัด</t>
  </si>
  <si>
    <t xml:space="preserve">ชื่อจดทะเบียนภาษาไทย (สมมติ)</t>
  </si>
  <si>
    <t xml:space="preserve">legalNameEn</t>
  </si>
  <si>
    <t xml:space="preserve">Demo Construction Co., Ltd.</t>
  </si>
  <si>
    <t xml:space="preserve">ชื่อจดทะเบียนภาษาอังกฤษ (สมมติ)</t>
  </si>
  <si>
    <t xml:space="preserve">displayName</t>
  </si>
  <si>
    <t xml:space="preserve">ชื่อที่แสดงในแอป เปลี่ยนเป็นชื่อ LK-RICH ได้ถ้าได้รับอนุญาต</t>
  </si>
  <si>
    <t xml:space="preserve">taxId</t>
  </si>
  <si>
    <t xml:space="preserve">0999999000055</t>
  </si>
  <si>
    <t xml:space="preserve">เลขผู้เสียภาษี 13 หลัก (สังเคราะห์ ผ่าน mod-11)</t>
  </si>
  <si>
    <t xml:space="preserve">BR-TAXID-01</t>
  </si>
  <si>
    <t xml:space="preserve">branchCode</t>
  </si>
  <si>
    <t xml:space="preserve">00000</t>
  </si>
  <si>
    <t xml:space="preserve">สาขา (00000 = สำนักงานใหญ่)</t>
  </si>
  <si>
    <t xml:space="preserve">address</t>
  </si>
  <si>
    <t xml:space="preserve">99 ถนนตัวอย่าง แขวงทดสอบ เขตสาธิต กรุงเทพฯ 10000 (สมมติ)</t>
  </si>
  <si>
    <t xml:space="preserve">ที่อยู่บนหัวเอกสาร</t>
  </si>
  <si>
    <t xml:space="preserve">logoFile</t>
  </si>
  <si>
    <t xml:space="preserve">ไฟล์โลโก้ (ว่าง = ใช้โลโก้ BCS ใน demo)</t>
  </si>
  <si>
    <t xml:space="preserve">timezone</t>
  </si>
  <si>
    <t xml:space="preserve">Asia/Bangkok</t>
  </si>
  <si>
    <t xml:space="preserve">เขตเวลา</t>
  </si>
  <si>
    <t xml:space="preserve">§5.1</t>
  </si>
  <si>
    <t xml:space="preserve">fiscalYearStartMonth</t>
  </si>
  <si>
    <t xml:space="preserve">เดือนเริ่มปีงบ (1 = มกราคม)</t>
  </si>
  <si>
    <t xml:space="preserve">contractSignatory</t>
  </si>
  <si>
    <t xml:space="preserve">ceo</t>
  </si>
  <si>
    <t xml:space="preserve">ผู้มีอำนาจลงนามตามสัญญา อนุมัติชุดตั้งต้น</t>
  </si>
  <si>
    <t xml:space="preserve">orgAdmins</t>
  </si>
  <si>
    <t xml:space="preserve">admin,admin2</t>
  </si>
  <si>
    <t xml:space="preserve">ORG_ADMIN อย่างน้อย 2 คน</t>
  </si>
  <si>
    <t xml:space="preserve">OQ-32</t>
  </si>
  <si>
    <t xml:space="preserve">currency</t>
  </si>
  <si>
    <t xml:space="preserve">THB</t>
  </si>
  <si>
    <t xml:space="preserve">สกุลเงิน</t>
  </si>
  <si>
    <t xml:space="preserve">A-02</t>
  </si>
  <si>
    <t xml:space="preserve">nameTh</t>
  </si>
  <si>
    <t xml:space="preserve">parent</t>
  </si>
  <si>
    <t xml:space="preserve">kind</t>
  </si>
  <si>
    <t xml:space="preserve">รหัสแผนก</t>
  </si>
  <si>
    <t xml:space="preserve">ชื่อแผนก</t>
  </si>
  <si>
    <t xml:space="preserve">แผนกแม่ (ว่าง = ราก)</t>
  </si>
  <si>
    <t xml:space="preserve">COMPANY DIVISION DEPARTMENT SECTION</t>
  </si>
  <si>
    <t xml:space="preserve">HQ</t>
  </si>
  <si>
    <t xml:space="preserve">สำนักงานใหญ่</t>
  </si>
  <si>
    <t xml:space="preserve">COMPANY</t>
  </si>
  <si>
    <t xml:space="preserve">OPS</t>
  </si>
  <si>
    <t xml:space="preserve">สายปฏิบัติการ</t>
  </si>
  <si>
    <t xml:space="preserve">DIVISION</t>
  </si>
  <si>
    <t xml:space="preserve">CON</t>
  </si>
  <si>
    <t xml:space="preserve">ฝ่ายก่อสร้าง</t>
  </si>
  <si>
    <t xml:space="preserve">DEPARTMENT</t>
  </si>
  <si>
    <t xml:space="preserve">PROC</t>
  </si>
  <si>
    <t xml:space="preserve">ฝ่ายจัดซื้อ</t>
  </si>
  <si>
    <t xml:space="preserve">SUP</t>
  </si>
  <si>
    <t xml:space="preserve">สายสนับสนุน</t>
  </si>
  <si>
    <t xml:space="preserve">FIN</t>
  </si>
  <si>
    <t xml:space="preserve">ฝ่ายบัญชีและการเงิน</t>
  </si>
  <si>
    <t xml:space="preserve">ฝ่ายไอที</t>
  </si>
  <si>
    <t xml:space="preserve">scope</t>
  </si>
  <si>
    <t xml:space="preserve">รหัสตำแหน่ง</t>
  </si>
  <si>
    <t xml:space="preserve">ชื่อตำแหน่ง</t>
  </si>
  <si>
    <t xml:space="preserve">DEPARTMENT = ผูกกับแผนก · ORG = ผูกกับแผนกราก</t>
  </si>
  <si>
    <t xml:space="preserve">DM</t>
  </si>
  <si>
    <t xml:space="preserve">ผู้จัดการฝ่าย</t>
  </si>
  <si>
    <t xml:space="preserve">VP</t>
  </si>
  <si>
    <t xml:space="preserve">รองประธานสายงาน</t>
  </si>
  <si>
    <t xml:space="preserve">COO</t>
  </si>
  <si>
    <t xml:space="preserve">ประธานเจ้าหน้าที่ฝ่ายปฏิบัติการ</t>
  </si>
  <si>
    <t xml:space="preserve">ORG</t>
  </si>
  <si>
    <t xml:space="preserve">CEO</t>
  </si>
  <si>
    <t xml:space="preserve">ประธานเจ้าหน้าที่บริหาร</t>
  </si>
  <si>
    <t xml:space="preserve">PROC_MGR</t>
  </si>
  <si>
    <t xml:space="preserve">ผู้จัดการจัดซื้อ</t>
  </si>
  <si>
    <t xml:space="preserve">displayNameTh</t>
  </si>
  <si>
    <t xml:space="preserve">email</t>
  </si>
  <si>
    <t xml:space="preserve">department</t>
  </si>
  <si>
    <t xml:space="preserve">roles</t>
  </si>
  <si>
    <t xml:space="preserve">positions</t>
  </si>
  <si>
    <t xml:space="preserve">note</t>
  </si>
  <si>
    <t xml:space="preserve">รหัสผู้ใช้</t>
  </si>
  <si>
    <t xml:space="preserve">ชื่อที่แสดง (สมมติ)</t>
  </si>
  <si>
    <t xml:space="preserve">อีเมลบริษัท</t>
  </si>
  <si>
    <t xml:space="preserve">แผนกหลัก</t>
  </si>
  <si>
    <t xml:space="preserve">บทบาทคั่นด้วย , (ผู้ขอได้โดยปริยาย)</t>
  </si>
  <si>
    <t xml:space="preserve">ตำแหน่ง@แผนก คั่นด้วย ;</t>
  </si>
  <si>
    <t xml:space="preserve">หมายเหตุ</t>
  </si>
  <si>
    <t xml:space="preserve">req_con</t>
  </si>
  <si>
    <t xml:space="preserve">สมชาย ใจดี</t>
  </si>
  <si>
    <t xml:space="preserve">req_con@demo.bcs.local</t>
  </si>
  <si>
    <t xml:space="preserve">req_con2</t>
  </si>
  <si>
    <t xml:space="preserve">วิศวะ หน้างาน</t>
  </si>
  <si>
    <t xml:space="preserve">req_con2@demo.bcs.local</t>
  </si>
  <si>
    <t xml:space="preserve">demo เพิ่ม: วิศวกรไซต์ B</t>
  </si>
  <si>
    <t xml:space="preserve">asst_con</t>
  </si>
  <si>
    <t xml:space="preserve">สมหญิง รักงาน</t>
  </si>
  <si>
    <t xml:space="preserve">asst_con@demo.bcs.local</t>
  </si>
  <si>
    <t xml:space="preserve">ผู้รักษาการในฉาก demo</t>
  </si>
  <si>
    <t xml:space="preserve">receiver_con</t>
  </si>
  <si>
    <t xml:space="preserve">ประเสริฐ ตรวจดี</t>
  </si>
  <si>
    <t xml:space="preserve">receiver_con@demo.bcs.local</t>
  </si>
  <si>
    <t xml:space="preserve">RECEIVER</t>
  </si>
  <si>
    <t xml:space="preserve">dm_con</t>
  </si>
  <si>
    <t xml:space="preserve">ดำรง ก่อสร้างไทย</t>
  </si>
  <si>
    <t xml:space="preserve">dm_con@demo.bcs.local</t>
  </si>
  <si>
    <t xml:space="preserve">DM@CON</t>
  </si>
  <si>
    <t xml:space="preserve">proc_officer</t>
  </si>
  <si>
    <t xml:space="preserve">พิมพ์ใจ จัดหา</t>
  </si>
  <si>
    <t xml:space="preserve">proc_officer@demo.bcs.local</t>
  </si>
  <si>
    <t xml:space="preserve">PROCUREMENT</t>
  </si>
  <si>
    <t xml:space="preserve">dm_proc</t>
  </si>
  <si>
    <t xml:space="preserve">ปรีชา จัดซื้อ</t>
  </si>
  <si>
    <t xml:space="preserve">dm_proc@demo.bcs.local</t>
  </si>
  <si>
    <t xml:space="preserve">DM@PROC;PROC_MGR@HQ</t>
  </si>
  <si>
    <t xml:space="preserve">fin_officer</t>
  </si>
  <si>
    <t xml:space="preserve">ฟ้าใส บัญชี</t>
  </si>
  <si>
    <t xml:space="preserve">fin_officer@demo.bcs.local</t>
  </si>
  <si>
    <t xml:space="preserve">FINANCE,BUDGET_ADMIN</t>
  </si>
  <si>
    <t xml:space="preserve">dm_fin</t>
  </si>
  <si>
    <t xml:space="preserve">ธนา การเงิน</t>
  </si>
  <si>
    <t xml:space="preserve">dm_fin@demo.bcs.local</t>
  </si>
  <si>
    <t xml:space="preserve">FINANCE</t>
  </si>
  <si>
    <t xml:space="preserve">DM@FIN</t>
  </si>
  <si>
    <t xml:space="preserve">auditor</t>
  </si>
  <si>
    <t xml:space="preserve">อรุณ ตรวจสอบ</t>
  </si>
  <si>
    <t xml:space="preserve">auditor@demo.bcs.local</t>
  </si>
  <si>
    <t xml:space="preserve">AUDITOR</t>
  </si>
  <si>
    <t xml:space="preserve">req_it</t>
  </si>
  <si>
    <t xml:space="preserve">ไอยรา ระบบงาน</t>
  </si>
  <si>
    <t xml:space="preserve">req_it@demo.bcs.local</t>
  </si>
  <si>
    <t xml:space="preserve">demo เพิ่ม</t>
  </si>
  <si>
    <t xml:space="preserve">dm_it</t>
  </si>
  <si>
    <t xml:space="preserve">ไอศูรย์ ระบบดี</t>
  </si>
  <si>
    <t xml:space="preserve">dm_it@demo.bcs.local</t>
  </si>
  <si>
    <t xml:space="preserve">DM@IT</t>
  </si>
  <si>
    <t xml:space="preserve">admin</t>
  </si>
  <si>
    <t xml:space="preserve">แอดมิน ดูแลระบบ</t>
  </si>
  <si>
    <t xml:space="preserve">admin@demo.bcs.local</t>
  </si>
  <si>
    <t xml:space="preserve">ORG_ADMIN</t>
  </si>
  <si>
    <t xml:space="preserve">admin2</t>
  </si>
  <si>
    <t xml:space="preserve">สมศักดิ์ ดูแลร่วม</t>
  </si>
  <si>
    <t xml:space="preserve">admin2@demo.bcs.local</t>
  </si>
  <si>
    <t xml:space="preserve">vp_ops</t>
  </si>
  <si>
    <t xml:space="preserve">วีระ ปฏิบัติการ</t>
  </si>
  <si>
    <t xml:space="preserve">vp_ops@demo.bcs.local</t>
  </si>
  <si>
    <t xml:space="preserve">VP@OPS</t>
  </si>
  <si>
    <t xml:space="preserve">vp_sup</t>
  </si>
  <si>
    <t xml:space="preserve">วิไล สนับสนุน</t>
  </si>
  <si>
    <t xml:space="preserve">vp_sup@demo.bcs.local</t>
  </si>
  <si>
    <t xml:space="preserve">VP@SUP</t>
  </si>
  <si>
    <t xml:space="preserve">coo</t>
  </si>
  <si>
    <t xml:space="preserve">ชัยวัฒน์ ปฏิบัติการใหญ่</t>
  </si>
  <si>
    <t xml:space="preserve">coo@demo.bcs.local</t>
  </si>
  <si>
    <t xml:space="preserve">EXECUTIVE</t>
  </si>
  <si>
    <t xml:space="preserve">COO@HQ</t>
  </si>
  <si>
    <t xml:space="preserve">ศักดิ์ชัย ผู้นำ</t>
  </si>
  <si>
    <t xml:space="preserve">ceo@demo.bcs.local</t>
  </si>
  <si>
    <t xml:space="preserve">CEO@HQ</t>
  </si>
  <si>
    <t xml:space="preserve">version</t>
  </si>
  <si>
    <t xml:space="preserve">ruleCode</t>
  </si>
  <si>
    <t xml:space="preserve">documentType</t>
  </si>
  <si>
    <t xml:space="preserve">gt</t>
  </si>
  <si>
    <t xml:space="preserve">lte</t>
  </si>
  <si>
    <t xml:space="preserve">approverKind</t>
  </si>
  <si>
    <t xml:space="preserve">approverPosition</t>
  </si>
  <si>
    <t xml:space="preserve">approverMember</t>
  </si>
  <si>
    <t xml:space="preserve">slaBusinessHours</t>
  </si>
  <si>
    <t xml:space="preserve">descriptionTh</t>
  </si>
  <si>
    <t xml:space="preserve">ฉบับ</t>
  </si>
  <si>
    <t xml:space="preserve">รหัสข้อ</t>
  </si>
  <si>
    <t xml:space="preserve">ประเภทเอกสาร</t>
  </si>
  <si>
    <t xml:space="preserve">มากกว่า (บาท) ว่าง = ไม่มีขอบล่าง</t>
  </si>
  <si>
    <t xml:space="preserve">ไม่เกิน (บาท) ว่าง = ไม่มีขอบบน</t>
  </si>
  <si>
    <t xml:space="preserve">วิธีหาผู้อนุมัติ</t>
  </si>
  <si>
    <t xml:space="preserve">ตำแหน่ง</t>
  </si>
  <si>
    <t xml:space="preserve">ผู้ใช้ (ถ้าระบุตัว)</t>
  </si>
  <si>
    <t xml:space="preserve">SLA ชั่วโมงทำการ</t>
  </si>
  <si>
    <t xml:space="preserve">คำอธิบาย</t>
  </si>
  <si>
    <t xml:space="preserve">PR-01</t>
  </si>
  <si>
    <t xml:space="preserve">PURCHASE_REQUEST</t>
  </si>
  <si>
    <t xml:space="preserve">POSITION_OF_DEPARTMENT</t>
  </si>
  <si>
    <t xml:space="preserve">ขอซื้อไม่เกิน 20,000 บาท → ผู้จัดการฝ่าย</t>
  </si>
  <si>
    <t xml:space="preserve">PR-02</t>
  </si>
  <si>
    <t xml:space="preserve">ขอซื้อเกิน 20,000 ถึง 100,000 บาท → VP ของสายงาน</t>
  </si>
  <si>
    <t xml:space="preserve">PR-03</t>
  </si>
  <si>
    <t xml:space="preserve">POSITION_OF_ORG</t>
  </si>
  <si>
    <t xml:space="preserve">ขอซื้อเกิน 100,000 บาท → CEO</t>
  </si>
  <si>
    <t xml:space="preserve">PO-01</t>
  </si>
  <si>
    <t xml:space="preserve">PURCHASE_ORDER</t>
  </si>
  <si>
    <t xml:space="preserve">สั่งซื้อไม่เกิน 1,000,000 บาท → COO</t>
  </si>
  <si>
    <t xml:space="preserve">PO-02</t>
  </si>
  <si>
    <t xml:space="preserve">สั่งซื้อเกิน 1,000,000 บาท → CEO</t>
  </si>
  <si>
    <t xml:space="preserve">GRV-01</t>
  </si>
  <si>
    <t xml:space="preserve">GR_VARIANCE</t>
  </si>
  <si>
    <t xml:space="preserve">variance ตรวจรับ → ผู้จัดการฝ่ายเจ้าของงบ (OQ-21)</t>
  </si>
  <si>
    <t xml:space="preserve">DOA-CHG-01</t>
  </si>
  <si>
    <t xml:space="preserve">DOA_CHANGE</t>
  </si>
  <si>
    <t xml:space="preserve">แก้ DOA → CEO (4 ตา + PIN)</t>
  </si>
  <si>
    <t xml:space="preserve">ORG-CHG-01</t>
  </si>
  <si>
    <t xml:space="preserve">ORG_AUTHORITY_CHANGE</t>
  </si>
  <si>
    <t xml:space="preserve">เปลี่ยนผู้ดำรงตำแหน่ง ย้ายแผนก รักษาการแทน → CEO</t>
  </si>
  <si>
    <t xml:space="preserve">DOA-DEMO</t>
  </si>
  <si>
    <t xml:space="preserve">รหัสชุด DOA</t>
  </si>
  <si>
    <t xml:space="preserve">§7.4</t>
  </si>
  <si>
    <t xml:space="preserve">ฉบับที่ใช้ใน demo</t>
  </si>
  <si>
    <t xml:space="preserve">effectiveFrom</t>
  </si>
  <si>
    <t xml:space="preserve">วันมีผล (demo ใช้ต้นปีให้คำขอย้อนหลังอยู่ในฉบับนี้)</t>
  </si>
  <si>
    <t xml:space="preserve">BR-DOA-01</t>
  </si>
  <si>
    <t xml:space="preserve">amountBasis</t>
  </si>
  <si>
    <t xml:space="preserve">GROSS</t>
  </si>
  <si>
    <t xml:space="preserve">วงเงินนับรวม VAT</t>
  </si>
  <si>
    <t xml:space="preserve">selfApprovalPolicy</t>
  </si>
  <si>
    <t xml:space="preserve">ESCALATE_NEXT_BAND</t>
  </si>
  <si>
    <t xml:space="preserve">ผู้อนุมัติขอเอง → ยกไปช่วงถัดไป</t>
  </si>
  <si>
    <t xml:space="preserve">collapseDuplicateApprovers</t>
  </si>
  <si>
    <t xml:space="preserve">Y</t>
  </si>
  <si>
    <t xml:space="preserve">รวมขั้นที่ผู้อนุมัติซ้ำ</t>
  </si>
  <si>
    <t xml:space="preserve">OQ-05</t>
  </si>
  <si>
    <t xml:space="preserve">stepUpThreshold</t>
  </si>
  <si>
    <t xml:space="preserve">ยอดที่ต้องยืนยัน PIN</t>
  </si>
  <si>
    <t xml:space="preserve">approverMayReceive</t>
  </si>
  <si>
    <t xml:space="preserve">N</t>
  </si>
  <si>
    <t xml:space="preserve">ผู้อนุมัติตรวจรับของเองได้ไหม</t>
  </si>
  <si>
    <t xml:space="preserve">BR-SOD-02</t>
  </si>
  <si>
    <t xml:space="preserve">requesterMayReceive</t>
  </si>
  <si>
    <t xml:space="preserve">ผู้ขอตรวจรับของเองได้ไหม</t>
  </si>
  <si>
    <t xml:space="preserve">remindPct</t>
  </si>
  <si>
    <t xml:space="preserve">เตือนเมื่อผ่าน % ของ SLA</t>
  </si>
  <si>
    <t xml:space="preserve">OQ-06</t>
  </si>
  <si>
    <t xml:space="preserve">escalateAfterBusinessHours</t>
  </si>
  <si>
    <t xml:space="preserve">เกินกำหนดแล้วกี่ชั่วโมงจึงเพิ่มผู้อนุมัติช่วงถัดไป</t>
  </si>
  <si>
    <t xml:space="preserve">fiscalYear</t>
  </si>
  <si>
    <t xml:space="preserve">costCenter</t>
  </si>
  <si>
    <t xml:space="preserve">accountCode</t>
  </si>
  <si>
    <t xml:space="preserve">planned</t>
  </si>
  <si>
    <t xml:space="preserve">usedDemo</t>
  </si>
  <si>
    <t xml:space="preserve">remaining</t>
  </si>
  <si>
    <t xml:space="preserve">remainingPct</t>
  </si>
  <si>
    <t xml:space="preserve">ปีงบ</t>
  </si>
  <si>
    <t xml:space="preserve">รหัสบรรทัดงบ</t>
  </si>
  <si>
    <t xml:space="preserve">ชื่อ</t>
  </si>
  <si>
    <t xml:space="preserve">แผนกเจ้าของงบ</t>
  </si>
  <si>
    <t xml:space="preserve">cost center</t>
  </si>
  <si>
    <t xml:space="preserve">รหัสบัญชี</t>
  </si>
  <si>
    <t xml:space="preserve">งบตั้งต้น (บาท ก่อน VAT)</t>
  </si>
  <si>
    <t xml:space="preserve">ใช้แล้วจากคำขอย้อนหลัง (สูตร)</t>
  </si>
  <si>
    <t xml:space="preserve">คงเหลือ (สูตร)</t>
  </si>
  <si>
    <t xml:space="preserve">% คงเหลือ (สูตร)</t>
  </si>
  <si>
    <t xml:space="preserve">FY2569</t>
  </si>
  <si>
    <t xml:space="preserve">CON-OPEX-2569</t>
  </si>
  <si>
    <t xml:space="preserve">ค่าใช้จ่ายดำเนินงาน ฝ่ายก่อสร้าง</t>
  </si>
  <si>
    <t xml:space="preserve">CC-CON</t>
  </si>
  <si>
    <t xml:space="preserve">5101 (สมมติ)</t>
  </si>
  <si>
    <t xml:space="preserve">CON-CAPEX-2569</t>
  </si>
  <si>
    <t xml:space="preserve">ลงทุนเครื่องมือและอุปกรณ์ ฝ่ายก่อสร้าง</t>
  </si>
  <si>
    <t xml:space="preserve">1201 (สมมติ)</t>
  </si>
  <si>
    <t xml:space="preserve">PROC-OPEX-2569</t>
  </si>
  <si>
    <t xml:space="preserve">ค่าใช้จ่ายดำเนินงาน ฝ่ายจัดซื้อ</t>
  </si>
  <si>
    <t xml:space="preserve">CC-PROC</t>
  </si>
  <si>
    <t xml:space="preserve">5102 (สมมติ)</t>
  </si>
  <si>
    <t xml:space="preserve">FIN-OPEX-2569</t>
  </si>
  <si>
    <t xml:space="preserve">ค่าใช้จ่ายดำเนินงาน ฝ่ายบัญชีและการเงิน</t>
  </si>
  <si>
    <t xml:space="preserve">CC-FIN</t>
  </si>
  <si>
    <t xml:space="preserve">5103 (สมมติ)</t>
  </si>
  <si>
    <t xml:space="preserve">IT-OPEX-2569</t>
  </si>
  <si>
    <t xml:space="preserve">ค่าใช้จ่ายดำเนินงาน ฝ่ายไอที</t>
  </si>
  <si>
    <t xml:space="preserve">CC-IT</t>
  </si>
  <si>
    <t xml:space="preserve">5104 (สมมติ)</t>
  </si>
  <si>
    <t xml:space="preserve">เหลือต่ำกว่า 10% → ขึ้นในสรุปรายวัน (ใช้ในฉาก demo)</t>
  </si>
  <si>
    <t xml:space="preserve">รวม</t>
  </si>
  <si>
    <t xml:space="preserve">vatRegistered</t>
  </si>
  <si>
    <t xml:space="preserve">phone</t>
  </si>
  <si>
    <t xml:space="preserve">category</t>
  </si>
  <si>
    <t xml:space="preserve">expressVendorCode</t>
  </si>
  <si>
    <t xml:space="preserve">ชื่อผู้ขาย (สมมติ)</t>
  </si>
  <si>
    <t xml:space="preserve">เลขผู้เสียภาษี (ข้อความ 13 หลัก)</t>
  </si>
  <si>
    <t xml:space="preserve">สาขา</t>
  </si>
  <si>
    <t xml:space="preserve">จด VAT (Y/N)</t>
  </si>
  <si>
    <t xml:space="preserve">อีเมลรับ PO</t>
  </si>
  <si>
    <t xml:space="preserve">โทร</t>
  </si>
  <si>
    <t xml:space="preserve">หมวด</t>
  </si>
  <si>
    <t xml:space="preserve">รหัสเจ้าหนี้ใน Express (ถ้าไฟล์นำเข้าต้องใช้ · OQ-10)</t>
  </si>
  <si>
    <t xml:space="preserve">บริษัท วัสดุก่อสร้างทดสอบ จำกัด</t>
  </si>
  <si>
    <t xml:space="preserve">0999999000012</t>
  </si>
  <si>
    <t xml:space="preserve">s1@supplier.demo.local</t>
  </si>
  <si>
    <t xml:space="preserve">02-000-0001</t>
  </si>
  <si>
    <t xml:space="preserve">วัสดุก่อสร้าง เช่าเครื่องมือ</t>
  </si>
  <si>
    <t xml:space="preserve">V0001</t>
  </si>
  <si>
    <t xml:space="preserve">บริษัท ไอทีทดสอบ จำกัด</t>
  </si>
  <si>
    <t xml:space="preserve">0999999000021</t>
  </si>
  <si>
    <t xml:space="preserve">s2@supplier.demo.local</t>
  </si>
  <si>
    <t xml:space="preserve">02-000-0002</t>
  </si>
  <si>
    <t xml:space="preserve">ไอที</t>
  </si>
  <si>
    <t xml:space="preserve">V0002</t>
  </si>
  <si>
    <t xml:space="preserve">บริษัท บริการทำความสะอาดทดสอบ จำกัด</t>
  </si>
  <si>
    <t xml:space="preserve">0999999000039</t>
  </si>
  <si>
    <t xml:space="preserve">s3@supplier.demo.local</t>
  </si>
  <si>
    <t xml:space="preserve">02-000-0003</t>
  </si>
  <si>
    <t xml:space="preserve">บริการทั่วไป วัสดุสำนักงาน</t>
  </si>
  <si>
    <t xml:space="preserve">V0003</t>
  </si>
  <si>
    <t xml:space="preserve">ห้างหุ้นส่วนจำกัด รับเหมาเล็กทดสอบ</t>
  </si>
  <si>
    <t xml:space="preserve">0999999000047</t>
  </si>
  <si>
    <t xml:space="preserve">s4@supplier.demo.local</t>
  </si>
  <si>
    <t xml:space="preserve">02-000-0004</t>
  </si>
  <si>
    <t xml:space="preserve">รับเหมาย่อย</t>
  </si>
  <si>
    <t xml:space="preserve">V0004</t>
  </si>
  <si>
    <t xml:space="preserve">สำนักงานบัญชีทดสอบ จำกัด</t>
  </si>
  <si>
    <t xml:space="preserve">0999999000063</t>
  </si>
  <si>
    <t xml:space="preserve">s5@supplier.demo.local</t>
  </si>
  <si>
    <t xml:space="preserve">02-000-0005</t>
  </si>
  <si>
    <t xml:space="preserve">บริการวิชาชีพ</t>
  </si>
  <si>
    <t xml:space="preserve">V0005</t>
  </si>
  <si>
    <t xml:space="preserve">ชื่อสถานที่ส่ง</t>
  </si>
  <si>
    <t xml:space="preserve">ที่อยู่ (สมมติ)</t>
  </si>
  <si>
    <t xml:space="preserve">SITE-A</t>
  </si>
  <si>
    <t xml:space="preserve">ไซต์งานตัวอย่าง A</t>
  </si>
  <si>
    <t xml:space="preserve">ไซต์ก่อสร้างสมมติ A</t>
  </si>
  <si>
    <t xml:space="preserve">SITE-B</t>
  </si>
  <si>
    <t xml:space="preserve">ไซต์งานตัวอย่าง B</t>
  </si>
  <si>
    <t xml:space="preserve">ไซต์ก่อสร้างสมมติ B</t>
  </si>
  <si>
    <t xml:space="preserve">HQ-STORE</t>
  </si>
  <si>
    <t xml:space="preserve">คลังสำนักงานใหญ่</t>
  </si>
  <si>
    <t xml:space="preserve">สำนักงานใหญ่ (สมมติ)</t>
  </si>
  <si>
    <t xml:space="preserve">keyFields</t>
  </si>
  <si>
    <t xml:space="preserve">attachmentRule</t>
  </si>
  <si>
    <t xml:space="preserve">active</t>
  </si>
  <si>
    <t xml:space="preserve">ชื่อบนการ์ด</t>
  </si>
  <si>
    <t xml:space="preserve">ชนิดเอกสาร</t>
  </si>
  <si>
    <t xml:space="preserve">ใช้เมื่อไร</t>
  </si>
  <si>
    <t xml:space="preserve">ฟิลด์สำคัญ</t>
  </si>
  <si>
    <t xml:space="preserve">ใช้งาน (Y/N)</t>
  </si>
  <si>
    <t xml:space="preserve">BUY_GOODS</t>
  </si>
  <si>
    <t xml:space="preserve">ซื้อของ</t>
  </si>
  <si>
    <t xml:space="preserve">วัสดุ อุปกรณ์ สินค้าทั่วไป</t>
  </si>
  <si>
    <t xml:space="preserve">รายการ จำนวน หน่วย ราคาประมาณ สถานที่ส่ง วันที่ต้องใช้ บรรทัดงบ</t>
  </si>
  <si>
    <t xml:space="preserve">ATT-QUOTES</t>
  </si>
  <si>
    <t xml:space="preserve">HIRE_SERVICE</t>
  </si>
  <si>
    <t xml:space="preserve">จ้างบริการ</t>
  </si>
  <si>
    <t xml:space="preserve">บริการรายครั้งหรือรายเดือน เช่าเครื่องมือ</t>
  </si>
  <si>
    <t xml:space="preserve">ขอบเขตงาน ระยะเวลา วันสิ้นสุดบริการ ราคาประมาณ ใบเสนอราคา บรรทัดงบ · คำถามคัดกรอง 3 ข้อ (ข้อมูลส่วนบุคคล ระบบ พื้นที่)</t>
  </si>
  <si>
    <t xml:space="preserve">ATT-QUOTES · ATT-DPA</t>
  </si>
  <si>
    <t xml:space="preserve">CONTRACT_WORK</t>
  </si>
  <si>
    <t xml:space="preserve">จ้างเหมา</t>
  </si>
  <si>
    <t xml:space="preserve">งานเหมาที่มีงวดงาน</t>
  </si>
  <si>
    <t xml:space="preserve">ขอบเขตงาน งวดงาน ไซต์ ราคาประมาณ บรรทัดงบ</t>
  </si>
  <si>
    <t xml:space="preserve">IT_PURCHASE</t>
  </si>
  <si>
    <t xml:space="preserve">ซื้ออุปกรณ์/ซอฟต์แวร์ไอที</t>
  </si>
  <si>
    <t xml:space="preserve">ฮาร์ดแวร์ ซอฟต์แวร์ ไลเซนส์</t>
  </si>
  <si>
    <t xml:space="preserve">หมวด (HARDWARE/SOFTWARE) รายการ จำนวน ราคาประมาณ assetTag เมื่อเป็นฮาร์ดแวร์ วันสิ้นสุดไลเซนส์ · คำถามคัดกรอง 3 ข้อ (ข้อมูลส่วนบุคคล ระบบ พื้นที่)</t>
  </si>
  <si>
    <t xml:space="preserve">NEW_SUPPLIER</t>
  </si>
  <si>
    <t xml:space="preserve">ขอเพิ่มผู้ขายรายใหม่</t>
  </si>
  <si>
    <t xml:space="preserve">SUPPLIER_REQUEST</t>
  </si>
  <si>
    <t xml:space="preserve">ผู้ขายที่ยังไม่อยู่ในทะเบียน</t>
  </si>
  <si>
    <t xml:space="preserve">ชื่อ เลขผู้เสียภาษี สาขา อีเมล เหตุผล</t>
  </si>
  <si>
    <t xml:space="preserve">date</t>
  </si>
  <si>
    <t xml:space="preserve">source</t>
  </si>
  <si>
    <t xml:space="preserve">วันที่</t>
  </si>
  <si>
    <t xml:space="preserve">ชื่อวันหยุด</t>
  </si>
  <si>
    <t xml:space="preserve">ที่มา</t>
  </si>
  <si>
    <t xml:space="preserve">วันนวมินทรมหาราช</t>
  </si>
  <si>
    <t xml:space="preserve">ตัวอย่าง · ใช้ในเทสต์ SLA</t>
  </si>
  <si>
    <t xml:space="preserve">วันปิยมหาราช</t>
  </si>
  <si>
    <t xml:space="preserve">ชดเชยวันพ่อแห่งชาติ</t>
  </si>
  <si>
    <t xml:space="preserve">ตัวอย่าง</t>
  </si>
  <si>
    <t xml:space="preserve">วันรัฐธรรมนูญ</t>
  </si>
  <si>
    <t xml:space="preserve">วันสิ้นปี</t>
  </si>
  <si>
    <t xml:space="preserve">วันขึ้นปีใหม่</t>
  </si>
  <si>
    <t xml:space="preserve">ค่าที่ใช้</t>
  </si>
  <si>
    <t xml:space="preserve">อ้างอิงใน spec</t>
  </si>
  <si>
    <t xml:space="preserve">vatRate</t>
  </si>
  <si>
    <t xml:space="preserve">อัตรา VAT ที่ใช้คำนวณใน demo (ระบบจริงอ่านจากตาราง TaxRate ตามวันที่)</t>
  </si>
  <si>
    <t xml:space="preserve">§7.1 OQ-29</t>
  </si>
  <si>
    <t xml:space="preserve">budgetBasis</t>
  </si>
  <si>
    <t xml:space="preserve">NET</t>
  </si>
  <si>
    <t xml:space="preserve">งบนับยอดก่อน VAT</t>
  </si>
  <si>
    <t xml:space="preserve">workdays</t>
  </si>
  <si>
    <t xml:space="preserve">MON,TUE,WED,THU,FRI</t>
  </si>
  <si>
    <t xml:space="preserve">วันทำงาน</t>
  </si>
  <si>
    <t xml:space="preserve">businessHoursStart</t>
  </si>
  <si>
    <t xml:space="preserve">08:30</t>
  </si>
  <si>
    <t xml:space="preserve">เริ่มเวลาทำการ</t>
  </si>
  <si>
    <t xml:space="preserve">businessHoursEnd</t>
  </si>
  <si>
    <t xml:space="preserve">17:30</t>
  </si>
  <si>
    <t xml:space="preserve">เลิกเวลาทำการ (ไม่หักพักเที่ยง)</t>
  </si>
  <si>
    <t xml:space="preserve">A-07</t>
  </si>
  <si>
    <t xml:space="preserve">numbering.PR</t>
  </si>
  <si>
    <t xml:space="preserve">รูปแบบเลขใบขอซื้อ</t>
  </si>
  <si>
    <t xml:space="preserve">numbering.PO</t>
  </si>
  <si>
    <t xml:space="preserve">PO-{BE}-{SEQ5}</t>
  </si>
  <si>
    <t xml:space="preserve">รูปแบบเลขใบสั่งซื้อ</t>
  </si>
  <si>
    <t xml:space="preserve">numbering.GR</t>
  </si>
  <si>
    <t xml:space="preserve">GR-{BE}-{SEQ5}</t>
  </si>
  <si>
    <t xml:space="preserve">รูปแบบเลขใบตรวจรับ</t>
  </si>
  <si>
    <t xml:space="preserve">numbering.RQ</t>
  </si>
  <si>
    <t xml:space="preserve">RQ-{BE}-{SEQ5}</t>
  </si>
  <si>
    <t xml:space="preserve">รูปแบบเลขคำขอผู้ขายรายใหม่</t>
  </si>
  <si>
    <t xml:space="preserve">numbering.reset</t>
  </si>
  <si>
    <t xml:space="preserve">YEARLY</t>
  </si>
  <si>
    <t xml:space="preserve">รีเซ็ตเลขทุกปี พ.ศ.</t>
  </si>
  <si>
    <t xml:space="preserve">consolidation.cron</t>
  </si>
  <si>
    <t xml:space="preserve">TZ=Asia/Bangkok 0 10,15 * * 1-5</t>
  </si>
  <si>
    <t xml:space="preserve">รอบรวม PR เป็น PO</t>
  </si>
  <si>
    <t xml:space="preserve">quoteThresholdGross</t>
  </si>
  <si>
    <t xml:space="preserve">ยอดรวม VAT ที่เกินแล้วต้องมีใบเสนอราคา 3 ราย</t>
  </si>
  <si>
    <t xml:space="preserve">receiving.overTolerancePct</t>
  </si>
  <si>
    <t xml:space="preserve">รับเกินได้กี่ %</t>
  </si>
  <si>
    <t xml:space="preserve">priceAlertPct</t>
  </si>
  <si>
    <t xml:space="preserve">เตือนเมื่อราคาใหม่แพงกว่าครั้งก่อนเกินเท่านี้</t>
  </si>
  <si>
    <t xml:space="preserve">FR-P2P-003</t>
  </si>
  <si>
    <t xml:space="preserve">digest.budgetLowPct</t>
  </si>
  <si>
    <t xml:space="preserve">สรุปรายวันแจ้งบรรทัดงบที่เหลือต่ำกว่านี้</t>
  </si>
  <si>
    <t xml:space="preserve">FR-LINE-006</t>
  </si>
  <si>
    <t xml:space="preserve">vatRounding</t>
  </si>
  <si>
    <t xml:space="preserve">DOCUMENT</t>
  </si>
  <si>
    <t xml:space="preserve">คิด VAT ระดับเอกสาร</t>
  </si>
  <si>
    <t xml:space="preserve">bahtTextStyle</t>
  </si>
  <si>
    <t xml:space="preserve">LIBREOFFICE</t>
  </si>
  <si>
    <t xml:space="preserve">101 = หนึ่งร้อยหนึ่ง</t>
  </si>
  <si>
    <t xml:space="preserve">poWithoutPr</t>
  </si>
  <si>
    <t xml:space="preserve">ออก PO โดยไม่มี PR ได้ไหม</t>
  </si>
  <si>
    <t xml:space="preserve">newSupplierRequiresDoa</t>
  </si>
  <si>
    <t xml:space="preserve">คำขอผู้ขายใหม่ต้องผ่าน DOA ไหม</t>
  </si>
  <si>
    <t xml:space="preserve">printSignatureMode</t>
  </si>
  <si>
    <t xml:space="preserve">APPROVAL_BLOCK</t>
  </si>
  <si>
    <t xml:space="preserve">เอกสารพิมพ์แสดงข้อมูลการอนุมัติแทนลายเซ็น</t>
  </si>
  <si>
    <t xml:space="preserve">budgetCarryOver</t>
  </si>
  <si>
    <t xml:space="preserve">ยกงบข้ามปีอัตโนมัติไหม</t>
  </si>
  <si>
    <t xml:space="preserve">crossBudgetApproverDept</t>
  </si>
  <si>
    <t xml:space="preserve">CHARGED</t>
  </si>
  <si>
    <t xml:space="preserve">ใช้งบข้ามฝ่ายให้ผู้อนุมัติของฝ่ายเจ้าของงบ</t>
  </si>
  <si>
    <t xml:space="preserve">email.fromAddress</t>
  </si>
  <si>
    <t xml:space="preserve">no-reply@bcs.local</t>
  </si>
  <si>
    <t xml:space="preserve">ผู้ส่งอีเมล PO ใน demo</t>
  </si>
  <si>
    <t xml:space="preserve">retention.documentYears</t>
  </si>
  <si>
    <t xml:space="preserve">เก็บเอกสารกี่ปี</t>
  </si>
  <si>
    <t xml:space="preserve">line.channelOwner</t>
  </si>
  <si>
    <t xml:space="preserve">BCS_DEMO</t>
  </si>
  <si>
    <t xml:space="preserve">demo ใช้ LINE OA และ channel ของ BCS · v2 ค่าเริ่มต้นคือ OA ของลูกค้า</t>
  </si>
  <si>
    <t xml:space="preserve">OQ-15 OQ-16</t>
  </si>
  <si>
    <t xml:space="preserve">express.encoding</t>
  </si>
  <si>
    <t xml:space="preserve">UTF-8-BOM</t>
  </si>
  <si>
    <t xml:space="preserve">encoding ไฟล์ส่ง Express (รอไฟล์ตัวอย่าง)</t>
  </si>
  <si>
    <t xml:space="preserve">poIdleDays</t>
  </si>
  <si>
    <t xml:space="preserve">registry.mode</t>
  </si>
  <si>
    <t xml:space="preserve">stub</t>
  </si>
  <si>
    <t xml:space="preserve">ตรวจผู้ขายกับสรรพากรและ DBD: stub = ข้อมูลจำลอง · live = บริการจริง</t>
  </si>
  <si>
    <t xml:space="preserve">daysAgo</t>
  </si>
  <si>
    <t xml:space="preserve">requester</t>
  </si>
  <si>
    <t xml:space="preserve">chargedDept</t>
  </si>
  <si>
    <t xml:space="preserve">requestType</t>
  </si>
  <si>
    <t xml:space="preserve">title</t>
  </si>
  <si>
    <t xml:space="preserve">site</t>
  </si>
  <si>
    <t xml:space="preserve">supplier</t>
  </si>
  <si>
    <t xml:space="preserve">budgetLine</t>
  </si>
  <si>
    <t xml:space="preserve">net</t>
  </si>
  <si>
    <t xml:space="preserve">vat</t>
  </si>
  <si>
    <t xml:space="preserve">gross</t>
  </si>
  <si>
    <t xml:space="preserve">countsAgainstBudget</t>
  </si>
  <si>
    <t xml:space="preserve">expectedRule</t>
  </si>
  <si>
    <t xml:space="preserve">expectedApprover</t>
  </si>
  <si>
    <t xml:space="preserve">escalated</t>
  </si>
  <si>
    <t xml:space="preserve">hours</t>
  </si>
  <si>
    <t xml:space="preserve">channel</t>
  </si>
  <si>
    <t xml:space="preserve">กี่วันก่อนวัน seed</t>
  </si>
  <si>
    <t xml:space="preserve">ผู้ขอ</t>
  </si>
  <si>
    <t xml:space="preserve">ประเภท</t>
  </si>
  <si>
    <t xml:space="preserve">เรื่อง</t>
  </si>
  <si>
    <t xml:space="preserve">สถานที่ส่ง</t>
  </si>
  <si>
    <t xml:space="preserve">บรรทัดงบ</t>
  </si>
  <si>
    <t xml:space="preserve">ยอดก่อน VAT</t>
  </si>
  <si>
    <t xml:space="preserve">VAT (สูตร)</t>
  </si>
  <si>
    <t xml:space="preserve">รวม VAT (สูตร)</t>
  </si>
  <si>
    <t xml:space="preserve">สถานะ</t>
  </si>
  <si>
    <t xml:space="preserve">นับเข้างบ (สูตร)</t>
  </si>
  <si>
    <t xml:space="preserve">ข้อ DOA ที่คาด</t>
  </si>
  <si>
    <t xml:space="preserve">ผู้อนุมัติที่คาด</t>
  </si>
  <si>
    <t xml:space="preserve">ยกระดับ (Y/N)</t>
  </si>
  <si>
    <t xml:space="preserve">ชั่วโมงทำการที่ใช้ตัดสิน หรือที่รอแล้ว</t>
  </si>
  <si>
    <t xml:space="preserve">ช่องทางที่ตัดสิน</t>
  </si>
  <si>
    <t xml:space="preserve">H01</t>
  </si>
  <si>
    <t xml:space="preserve">โน้ตบุ๊กวิศวกรสนาม 4 เครื่อง</t>
  </si>
  <si>
    <t xml:space="preserve">COMPLETED</t>
  </si>
  <si>
    <t xml:space="preserve">LIFF</t>
  </si>
  <si>
    <t xml:space="preserve">ยอดเกิน 100,000 แนบใบเสนอราคา 3 ราย · อนุมัติด้วย PIN</t>
  </si>
  <si>
    <t xml:space="preserve">H02</t>
  </si>
  <si>
    <t xml:space="preserve">ไลเซนส์ซอฟต์แวร์ออกแบบ 1 ปี</t>
  </si>
  <si>
    <t xml:space="preserve">ORDERED</t>
  </si>
  <si>
    <t xml:space="preserve">LINE_CHAT</t>
  </si>
  <si>
    <t xml:space="preserve">H03</t>
  </si>
  <si>
    <t xml:space="preserve">อุปกรณ์เครือข่ายไซต์งาน</t>
  </si>
  <si>
    <t xml:space="preserve">APPROVED</t>
  </si>
  <si>
    <t xml:space="preserve">รอจัดซื้อรวม PR</t>
  </si>
  <si>
    <t xml:space="preserve">H04</t>
  </si>
  <si>
    <t xml:space="preserve">จอภาพห้องประชุม</t>
  </si>
  <si>
    <t xml:space="preserve">WEB</t>
  </si>
  <si>
    <t xml:space="preserve">DM ขอเอง จึงยกไป VP</t>
  </si>
  <si>
    <t xml:space="preserve">H05</t>
  </si>
  <si>
    <t xml:space="preserve">เมาส์และคีย์บอร์ด</t>
  </si>
  <si>
    <t xml:space="preserve">H06</t>
  </si>
  <si>
    <t xml:space="preserve">ชุดหูฟังประชุม</t>
  </si>
  <si>
    <t xml:space="preserve">REJECTED</t>
  </si>
  <si>
    <t xml:space="preserve">ไม่อนุมัติ: ใช้ของเดิมได้ · งบคืนแล้ว</t>
  </si>
  <si>
    <t xml:space="preserve">H07</t>
  </si>
  <si>
    <t xml:space="preserve">ปูนซีเมนต์ 200 ถุง</t>
  </si>
  <si>
    <t xml:space="preserve">H08</t>
  </si>
  <si>
    <t xml:space="preserve">เหล็กเส้น DB12</t>
  </si>
  <si>
    <t xml:space="preserve">ยอดรวม VAT 102,720 เกิน 100,000 → CEO และใบเสนอราคา 3 ราย</t>
  </si>
  <si>
    <t xml:space="preserve">H09</t>
  </si>
  <si>
    <t xml:space="preserve">ทรายและหิน</t>
  </si>
  <si>
    <t xml:space="preserve">H10</t>
  </si>
  <si>
    <t xml:space="preserve">ค่าเช่าเครื่องตัดคอนกรีต 1 เดือน</t>
  </si>
  <si>
    <t xml:space="preserve">H11</t>
  </si>
  <si>
    <t xml:space="preserve">อุปกรณ์ความปลอดภัย PPE</t>
  </si>
  <si>
    <t xml:space="preserve">รอจัดซื้อรวม PR (จะรวมกับฉาก 1)</t>
  </si>
  <si>
    <t xml:space="preserve">H12</t>
  </si>
  <si>
    <t xml:space="preserve">ไม้แบบหล่อคอนกรีต</t>
  </si>
  <si>
    <t xml:space="preserve">PENDING_APPROVAL</t>
  </si>
  <si>
    <t xml:space="preserve">ค้างที่ VP 18 ชม. เกิน SLA 8 ชม. → ขึ้นกระดานค้าง</t>
  </si>
  <si>
    <t xml:space="preserve">H13</t>
  </si>
  <si>
    <t xml:space="preserve">สีกันสนิม</t>
  </si>
  <si>
    <t xml:space="preserve">ยังไม่เกิน SLA</t>
  </si>
  <si>
    <t xml:space="preserve">H14</t>
  </si>
  <si>
    <t xml:space="preserve">เครื่องวัดระดับเลเซอร์</t>
  </si>
  <si>
    <t xml:space="preserve">H15</t>
  </si>
  <si>
    <t xml:space="preserve">น้ำมันเครื่องจักร</t>
  </si>
  <si>
    <t xml:space="preserve">RETURNED</t>
  </si>
  <si>
    <t xml:space="preserve">ตีกลับให้แนบใบเสนอราคา · งบยังจองไว้</t>
  </si>
  <si>
    <t xml:space="preserve">H16</t>
  </si>
  <si>
    <t xml:space="preserve">เครื่องผสมคอนกรีต</t>
  </si>
  <si>
    <t xml:space="preserve">PO 406,600 บาท อนุมัติโดย COO (PO-01)</t>
  </si>
  <si>
    <t xml:space="preserve">H17</t>
  </si>
  <si>
    <t xml:space="preserve">นั่งร้านเหล็ก 200 ชุด</t>
  </si>
  <si>
    <t xml:space="preserve">รอ CEO ยังไม่เกิน SLA 16 ชม.</t>
  </si>
  <si>
    <t xml:space="preserve">H18</t>
  </si>
  <si>
    <t xml:space="preserve">กระดาษและหมึกพิมพ์</t>
  </si>
  <si>
    <t xml:space="preserve">H19</t>
  </si>
  <si>
    <t xml:space="preserve">ค่าตรวจสอบบัญชีระหว่างกาล</t>
  </si>
  <si>
    <t xml:space="preserve">H20</t>
  </si>
  <si>
    <t xml:space="preserve">ค่าส่งเอกสารด่วนรายเดือน</t>
  </si>
  <si>
    <t xml:space="preserve">scene</t>
  </si>
  <si>
    <t xml:space="preserve">core</t>
  </si>
  <si>
    <t xml:space="preserve">titleTh</t>
  </si>
  <si>
    <t xml:space="preserve">actor</t>
  </si>
  <si>
    <t xml:space="preserve">expectedOutcome</t>
  </si>
  <si>
    <t xml:space="preserve">delegation</t>
  </si>
  <si>
    <t xml:space="preserve">stepsTh</t>
  </si>
  <si>
    <t xml:space="preserve">talkingPointTh</t>
  </si>
  <si>
    <t xml:space="preserve">askQuestion</t>
  </si>
  <si>
    <t xml:space="preserve">minutes</t>
  </si>
  <si>
    <t xml:space="preserve">ฉาก</t>
  </si>
  <si>
    <t xml:space="preserve">ต้องมี (Y) หรือเสริม (N)</t>
  </si>
  <si>
    <t xml:space="preserve">ชื่อฉาก</t>
  </si>
  <si>
    <t xml:space="preserve">ผู้ใช้ที่เล่น</t>
  </si>
  <si>
    <t xml:space="preserve">ช่องทาง</t>
  </si>
  <si>
    <t xml:space="preserve">แผนก</t>
  </si>
  <si>
    <t xml:space="preserve">ผลที่คาด ROUTED BLOCKED NA</t>
  </si>
  <si>
    <t xml:space="preserve">ข้อ DOA</t>
  </si>
  <si>
    <t xml:space="preserve">ผู้รับงานที่คาด</t>
  </si>
  <si>
    <t xml:space="preserve">ยกระดับ</t>
  </si>
  <si>
    <t xml:space="preserve">รักษาการ ผู้มอบ&gt;ผู้รักษาการ</t>
  </si>
  <si>
    <t xml:space="preserve">ขั้นตอน</t>
  </si>
  <si>
    <t xml:space="preserve">ประเด็นที่พูด</t>
  </si>
  <si>
    <t xml:space="preserve">คำถามที่ถามต่อ</t>
  </si>
  <si>
    <t xml:space="preserve">นาที</t>
  </si>
  <si>
    <t xml:space="preserve">ขอซื้อจาก LINE ในหนึ่งนาที</t>
  </si>
  <si>
    <t xml:space="preserve">ROUTED</t>
  </si>
  <si>
    <t xml:space="preserve">rich menu "ขอซื้อ" → ไม้อัดและตะปู → ระบบเติมแผนก งบ และไซต์ให้ → เห็นงบคงเหลือและเส้นทาง "VP สายปฏิบัติการ (PR-02)" ก่อนกดส่ง</t>
  </si>
  <si>
    <t xml:space="preserve">ฟอร์มถามน้อย และบอกล่วงหน้าว่าเอกสารจะไปหาใคร</t>
  </si>
  <si>
    <t xml:space="preserve">อนุมัติในแชท</t>
  </si>
  <si>
    <t xml:space="preserve">NA</t>
  </si>
  <si>
    <t xml:space="preserve">การ์ดอนุมัติเด้งในแชท → กด "อนุมัติ" → ได้การ์ดยืนยัน → เปิดหน้า audit เห็นช่องทาง LINE_CHAT และ "DOA-DEMO ฉบับ 1 ข้อ PR-02"</t>
  </si>
  <si>
    <t xml:space="preserve">ผู้บริหารอนุมัติได้โดยไม่ต้องเปิดคอม และทุกการอนุมัติอ้าง DOA</t>
  </si>
  <si>
    <t xml:space="preserve">ยอดสูงต้องยืนยัน PIN</t>
  </si>
  <si>
    <t xml:space="preserve">ขอซื้อปั๊มน้ำบาดาล → ไป CEO → CEO กดอนุมัติในแชท → ระบบเปิด LIFF ให้ใส่ PIN</t>
  </si>
  <si>
    <t xml:space="preserve">ยอดสูงปลอดภัยกว่าการกดปุ่มเดียว</t>
  </si>
  <si>
    <t xml:space="preserve">งบไม่พอ ไม่ถึงผู้อนุมัติ</t>
  </si>
  <si>
    <t xml:space="preserve">BLOCKED</t>
  </si>
  <si>
    <t xml:space="preserve">ขอซื้อเซิร์ฟเวอร์สำรองข้อมูล 60,000 บาท → ระบบบอกงบคงเหลือ 25,000 ขาด 35,000 และส่งไม่ได้</t>
  </si>
  <si>
    <t xml:space="preserve">ไม่มีคำขอเกินงบหลุดไปถึงผู้บริหาร</t>
  </si>
  <si>
    <t xml:space="preserve">ยอดก่อน VAT กับรวม VAT</t>
  </si>
  <si>
    <t xml:space="preserve">ยอดก่อน VAT 18,700 แต่รวม VAT 20,009 → ไป VP ไม่ใช่ DM → ถามลูกค้าว่า DOA นับรวม VAT หรือไม่</t>
  </si>
  <si>
    <t xml:space="preserve">เปลี่ยนนโยบายได้ด้วยการตั้งค่า ไม่ต้องแก้โปรแกรม</t>
  </si>
  <si>
    <t xml:space="preserve">ผู้มีอำนาจขอเอง</t>
  </si>
  <si>
    <t xml:space="preserve">DM ขอซื้อ 16,500 บาท → ระบบไม่ส่งให้ตัวเอง แต่ยกไป VP พร้อมเหตุผล</t>
  </si>
  <si>
    <t xml:space="preserve">กันการอนุมัติตัวเองโดยอัตโนมัติ</t>
  </si>
  <si>
    <t xml:space="preserve">จัดซื้อรวม PR เป็น PO</t>
  </si>
  <si>
    <t xml:space="preserve">กองรอจัดซื้อเห็นคำขอฉาก 1 กับ H11 (ผู้ขาย S1 ไซต์ A) → รวมเป็น PO เดียว → ส่งอนุมัติ → COO อนุมัติ (PO-01) → ส่งอีเมล PO พร้อม PDF</t>
  </si>
  <si>
    <t xml:space="preserve">ลดจำนวน PO และเห็นราคาที่เคยซื้อ</t>
  </si>
  <si>
    <t xml:space="preserve">ตรวจรับหน้างานด้วยมือถือ</t>
  </si>
  <si>
    <t xml:space="preserve">เปิดลิงก์ตรวจรับ → รับไม้อัด 60% และ PPE ครบ → ถ่ายรูป → สถานะ PO เป็นรับบางส่วน</t>
  </si>
  <si>
    <t xml:space="preserve">หน้างานบันทึกได้ทันทีพร้อมหลักฐาน</t>
  </si>
  <si>
    <t xml:space="preserve">ผู้บริหารเห็นทุกอย่าง</t>
  </si>
  <si>
    <t xml:space="preserve">กระดานค้าง (H12 ค้างที่ VP 18 ชม.) → dashboard งบ (ไอทีเหลือ 8%) → KPI สัดส่วนอนุมัติผ่าน LINE → ส่งออก audit พร้อม DOA ref</t>
  </si>
  <si>
    <t xml:space="preserve">รู้ทันทีว่างานติดที่ใครและงบไหนใกล้หมด</t>
  </si>
  <si>
    <t xml:space="preserve">ลูกค้าแก้ DOA เอง</t>
  </si>
  <si>
    <t xml:space="preserve">ร่างฉบับ 2 ปรับช่วง DM เป็น 30,000 → เห็น diff และตารางผลที่ขอบ → ส่ง → CEO อนุมัติด้วย PIN → มีผลวันที่ 1 เดือนหน้า → ทดลองส่ง 25,000 เห็นฉบับ 1 ไป VP ฉบับ 2 ไป DM</t>
  </si>
  <si>
    <t xml:space="preserve">ลูกค้าดูแลนโยบายเองโดยไม่ต้องรอ BCS และยังมีการตรวจ 4 ตา</t>
  </si>
  <si>
    <t xml:space="preserve">รักษาการตอนลา</t>
  </si>
  <si>
    <t xml:space="preserve">dm_con&gt;asst_con</t>
  </si>
  <si>
    <t xml:space="preserve">dm_con ตั้งรักษาการให้ asst_con ใน LIFF → req_con2 ขอซื้อ 8,000 บาท → งานไป asst_con โดยระบุว่าทำแทน dm_con</t>
  </si>
  <si>
    <t xml:space="preserve">งานไม่ค้างตอนผู้อนุมัติลา</t>
  </si>
  <si>
    <t xml:space="preserve">เพิ่มผู้ขายด้วยเลขผู้เสียภาษี</t>
  </si>
  <si>
    <t xml:space="preserve">จัดซื้อเพิ่มผู้ขายใหม่ พิมพ์เลข 13 หลัก → ระบบเติมชื่อ ที่อยู่ สาขา สถานะ VAT และสถานะนิติบุคคลจากสรรพากรและ DBD (demo ใช้โหมด stub หรือบริการจริงตาม registry.mode)</t>
  </si>
  <si>
    <t xml:space="preserve">ตรวจตัวตนผู้ขายจากแหล่งของรัฐโดยไม่ต้องใช้ AI</t>
  </si>
  <si>
    <t xml:space="preserve">อ่านใบกำกับ e-Tax</t>
  </si>
  <si>
    <t xml:space="preserve">อัปโหลดไฟล์ e-Tax (PDF/A-3 ที่ฝัง XML) ของ PO ในฉาก 7 → ระบบเติมเลขที่ วันที่ ยอดก่อน VAT และ VAT ให้ยืนยัน → บันทึกแล้วงบย้ายเป็นจ่ายจริง</t>
  </si>
  <si>
    <t xml:space="preserve">ฝ่ายบัญชีไม่ต้องพิมพ์ใบกำกับเอง และระบบตรวจ VAT ให้</t>
  </si>
  <si>
    <t xml:space="preserve">รวมนาที</t>
  </si>
  <si>
    <t xml:space="preserve">เฉพาะฉากหลัก</t>
  </si>
  <si>
    <t xml:space="preserve">แผนสำรอง: ถ้า LINE มีปัญหา เปิดลิงก์ LIFF ในเบราว์เซอร์หรือใช้หน้าอนุมัติบนเว็บ และอัดวิดีโอฉาก 1–3 ไว้ล่วงหน้า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</si>
</sst>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yyyy\-mm\-dd"/>
    <numFmt numFmtId="167" formatCode="0%"/>
    <numFmt numFmtId="168" formatCode="0.0%"/>
    <numFmt numFmtId="169" formatCode="0.0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Tahoma"/>
      <family val="0"/>
      <charset val="1"/>
    </font>
    <font>
      <sz val="10"/>
      <name val="Tahoma"/>
      <family val="0"/>
      <charset val="1"/>
    </font>
    <font>
      <b val="true"/>
      <sz val="11"/>
      <name val="Tahoma"/>
      <family val="0"/>
      <charset val="1"/>
    </font>
    <font>
      <b val="true"/>
      <sz val="10"/>
      <color rgb="FFFFFFFF"/>
      <name val="Tahoma"/>
      <family val="0"/>
      <charset val="1"/>
    </font>
    <font>
      <i val="true"/>
      <sz val="9"/>
      <color rgb="FF404040"/>
      <name val="Tahoma"/>
      <family val="0"/>
      <charset val="1"/>
    </font>
    <font>
      <sz val="10"/>
      <color rgb="FF0000FF"/>
      <name val="Tahoma"/>
      <family val="0"/>
      <charset val="1"/>
    </font>
    <font>
      <sz val="10"/>
      <name val="FreeSans"/>
      <family val="2"/>
    </font>
    <font>
      <sz val="10"/>
      <name val="Arial"/>
      <family val="2"/>
    </font>
    <font>
      <sz val="10"/>
      <color rgb="FF000000"/>
      <name val="Tahom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95959"/>
        <bgColor rgb="FF404040"/>
      </patternFill>
    </fill>
    <fill>
      <patternFill patternType="solid">
        <fgColor rgb="FFBF8F00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7F6000"/>
        <bgColor rgb="FF595959"/>
      </patternFill>
    </fill>
    <fill>
      <patternFill patternType="solid">
        <fgColor rgb="FFF2F2F2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6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12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BF8F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vmlDrawing" Target="../drawings/vmlDrawing2.v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vmlDrawing" Target="../drawings/vmlDrawing3.v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vmlDrawing" Target="../drawings/vmlDrawing4.v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comments" Target="../comments17.xml"/><Relationship Id="rId2" Type="http://schemas.openxmlformats.org/officeDocument/2006/relationships/vmlDrawing" Target="../drawings/vmlDrawing5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2"/>
    <col collapsed="false" customWidth="true" hidden="false" outlineLevel="0" max="3" min="3" style="0" width="16"/>
  </cols>
  <sheetData>
    <row r="1" customFormat="false" ht="50.7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2"/>
      <c r="B2" s="2"/>
    </row>
    <row r="3" customFormat="false" ht="23.85" hidden="false" customHeight="false" outlineLevel="0" collapsed="false">
      <c r="A3" s="2" t="s">
        <v>1</v>
      </c>
      <c r="B3" s="2" t="s">
        <v>2</v>
      </c>
    </row>
    <row r="4" customFormat="false" ht="22.35" hidden="false" customHeight="false" outlineLevel="0" collapsed="false">
      <c r="A4" s="2" t="s">
        <v>3</v>
      </c>
      <c r="B4" s="2" t="s">
        <v>4</v>
      </c>
    </row>
    <row r="5" customFormat="false" ht="23.85" hidden="false" customHeight="false" outlineLevel="0" collapsed="false">
      <c r="A5" s="2" t="s">
        <v>5</v>
      </c>
      <c r="B5" s="2" t="s">
        <v>6</v>
      </c>
    </row>
    <row r="6" customFormat="false" ht="15" hidden="false" customHeight="false" outlineLevel="0" collapsed="false">
      <c r="A6" s="2"/>
      <c r="B6" s="2"/>
    </row>
    <row r="7" customFormat="false" ht="15" hidden="false" customHeight="false" outlineLevel="0" collapsed="false">
      <c r="A7" s="3" t="s">
        <v>7</v>
      </c>
      <c r="B7" s="3"/>
    </row>
    <row r="8" customFormat="false" ht="15" hidden="false" customHeight="false" outlineLevel="0" collapsed="false">
      <c r="A8" s="2" t="s">
        <v>8</v>
      </c>
      <c r="B8" s="2" t="s">
        <v>9</v>
      </c>
      <c r="C8" s="4"/>
    </row>
    <row r="9" customFormat="false" ht="15" hidden="false" customHeight="false" outlineLevel="0" collapsed="false">
      <c r="A9" s="2" t="s">
        <v>10</v>
      </c>
      <c r="B9" s="2" t="s">
        <v>11</v>
      </c>
      <c r="C9" s="5"/>
    </row>
    <row r="10" customFormat="false" ht="15" hidden="false" customHeight="false" outlineLevel="0" collapsed="false">
      <c r="A10" s="2" t="s">
        <v>12</v>
      </c>
      <c r="B10" s="2" t="s">
        <v>13</v>
      </c>
      <c r="C10" s="6"/>
    </row>
    <row r="11" customFormat="false" ht="15" hidden="false" customHeight="false" outlineLevel="0" collapsed="false">
      <c r="A11" s="2" t="s">
        <v>14</v>
      </c>
      <c r="B11" s="2" t="s">
        <v>15</v>
      </c>
      <c r="C11" s="7"/>
    </row>
    <row r="12" customFormat="false" ht="15" hidden="false" customHeight="false" outlineLevel="0" collapsed="false">
      <c r="A12" s="2" t="s">
        <v>16</v>
      </c>
      <c r="B12" s="2" t="s">
        <v>17</v>
      </c>
    </row>
    <row r="13" customFormat="false" ht="15" hidden="false" customHeight="false" outlineLevel="0" collapsed="false">
      <c r="A13" s="2" t="s">
        <v>18</v>
      </c>
      <c r="B13" s="2" t="s">
        <v>19</v>
      </c>
    </row>
    <row r="14" customFormat="false" ht="15" hidden="false" customHeight="false" outlineLevel="0" collapsed="false">
      <c r="A14" s="2"/>
      <c r="B14" s="2"/>
    </row>
    <row r="15" customFormat="false" ht="15" hidden="false" customHeight="false" outlineLevel="0" collapsed="false">
      <c r="A15" s="3" t="s">
        <v>20</v>
      </c>
      <c r="B15" s="3" t="s">
        <v>1</v>
      </c>
    </row>
    <row r="16" customFormat="false" ht="15" hidden="false" customHeight="false" outlineLevel="0" collapsed="false">
      <c r="A16" s="2" t="s">
        <v>21</v>
      </c>
      <c r="B16" s="2" t="s">
        <v>22</v>
      </c>
    </row>
    <row r="17" customFormat="false" ht="15" hidden="false" customHeight="false" outlineLevel="0" collapsed="false">
      <c r="A17" s="2" t="s">
        <v>23</v>
      </c>
      <c r="B17" s="2" t="s">
        <v>24</v>
      </c>
    </row>
    <row r="18" customFormat="false" ht="15" hidden="false" customHeight="false" outlineLevel="0" collapsed="false">
      <c r="A18" s="2" t="s">
        <v>25</v>
      </c>
      <c r="B18" s="2" t="s">
        <v>26</v>
      </c>
    </row>
    <row r="19" customFormat="false" ht="23.85" hidden="false" customHeight="false" outlineLevel="0" collapsed="false">
      <c r="A19" s="2" t="s">
        <v>27</v>
      </c>
      <c r="B19" s="2" t="s">
        <v>28</v>
      </c>
    </row>
    <row r="20" customFormat="false" ht="15" hidden="false" customHeight="false" outlineLevel="0" collapsed="false">
      <c r="A20" s="2" t="s">
        <v>29</v>
      </c>
      <c r="B20" s="2" t="s">
        <v>30</v>
      </c>
    </row>
    <row r="21" customFormat="false" ht="15" hidden="false" customHeight="false" outlineLevel="0" collapsed="false">
      <c r="A21" s="2" t="s">
        <v>31</v>
      </c>
      <c r="B21" s="2" t="s">
        <v>32</v>
      </c>
    </row>
    <row r="22" customFormat="false" ht="23.85" hidden="false" customHeight="false" outlineLevel="0" collapsed="false">
      <c r="A22" s="2" t="s">
        <v>33</v>
      </c>
      <c r="B22" s="2" t="s">
        <v>34</v>
      </c>
    </row>
    <row r="23" customFormat="false" ht="15" hidden="false" customHeight="false" outlineLevel="0" collapsed="false">
      <c r="A23" s="2" t="s">
        <v>35</v>
      </c>
      <c r="B23" s="2" t="s">
        <v>36</v>
      </c>
    </row>
    <row r="24" customFormat="false" ht="15" hidden="false" customHeight="false" outlineLevel="0" collapsed="false">
      <c r="A24" s="2" t="s">
        <v>37</v>
      </c>
      <c r="B24" s="2" t="s">
        <v>38</v>
      </c>
    </row>
    <row r="25" customFormat="false" ht="15" hidden="false" customHeight="false" outlineLevel="0" collapsed="false">
      <c r="A25" s="2" t="s">
        <v>39</v>
      </c>
      <c r="B25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0"/>
    <col collapsed="false" customWidth="true" hidden="false" outlineLevel="0" max="3" min="3" style="0" width="44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2"/>
    <col collapsed="false" customWidth="true" hidden="false" outlineLevel="0" max="10" min="10" style="0" width="14"/>
  </cols>
  <sheetData>
    <row r="1" customFormat="false" ht="23.85" hidden="false" customHeight="false" outlineLevel="0" collapsed="false">
      <c r="A1" s="8" t="s">
        <v>41</v>
      </c>
      <c r="B1" s="8" t="s">
        <v>42</v>
      </c>
      <c r="C1" s="9" t="s">
        <v>43</v>
      </c>
      <c r="D1" s="8" t="s">
        <v>44</v>
      </c>
      <c r="E1" s="8" t="s">
        <v>45</v>
      </c>
      <c r="F1" s="9" t="s">
        <v>46</v>
      </c>
      <c r="G1" s="8" t="s">
        <v>47</v>
      </c>
      <c r="H1" s="8" t="s">
        <v>48</v>
      </c>
      <c r="I1" s="8" t="s">
        <v>49</v>
      </c>
      <c r="J1" s="10" t="s">
        <v>50</v>
      </c>
    </row>
    <row r="2" customFormat="false" ht="31.5" hidden="false" customHeight="true" outlineLevel="0" collapsed="false">
      <c r="A2" s="11" t="s">
        <v>51</v>
      </c>
      <c r="B2" s="11" t="s">
        <v>52</v>
      </c>
      <c r="C2" s="11" t="s">
        <v>53</v>
      </c>
      <c r="D2" s="11" t="s">
        <v>54</v>
      </c>
      <c r="E2" s="11" t="s">
        <v>55</v>
      </c>
      <c r="F2" s="11" t="s">
        <v>56</v>
      </c>
      <c r="G2" s="11" t="s">
        <v>57</v>
      </c>
      <c r="H2" s="11" t="s">
        <v>58</v>
      </c>
      <c r="I2" s="11" t="s">
        <v>59</v>
      </c>
      <c r="J2" s="11" t="s">
        <v>60</v>
      </c>
    </row>
    <row r="3" customFormat="false" ht="15" hidden="false" customHeight="false" outlineLevel="0" collapsed="false">
      <c r="A3" s="12" t="s">
        <v>61</v>
      </c>
      <c r="B3" s="12" t="s">
        <v>62</v>
      </c>
      <c r="C3" s="12" t="s">
        <v>63</v>
      </c>
      <c r="D3" s="12" t="s">
        <v>64</v>
      </c>
      <c r="E3" s="12" t="s">
        <v>65</v>
      </c>
      <c r="F3" s="12" t="s">
        <v>66</v>
      </c>
      <c r="G3" s="12" t="s">
        <v>67</v>
      </c>
      <c r="H3" s="12" t="s">
        <v>68</v>
      </c>
      <c r="I3" s="12" t="s">
        <v>25</v>
      </c>
      <c r="J3" s="13" t="s">
        <v>69</v>
      </c>
    </row>
    <row r="4" customFormat="false" ht="23.85" hidden="false" customHeight="false" outlineLevel="0" collapsed="false">
      <c r="A4" s="12" t="s">
        <v>70</v>
      </c>
      <c r="B4" s="12" t="s">
        <v>62</v>
      </c>
      <c r="C4" s="12" t="s">
        <v>71</v>
      </c>
      <c r="D4" s="12" t="s">
        <v>72</v>
      </c>
      <c r="E4" s="12" t="s">
        <v>73</v>
      </c>
      <c r="F4" s="12" t="s">
        <v>74</v>
      </c>
      <c r="G4" s="12" t="s">
        <v>75</v>
      </c>
      <c r="H4" s="12" t="s">
        <v>68</v>
      </c>
      <c r="I4" s="12" t="s">
        <v>76</v>
      </c>
      <c r="J4" s="13" t="s">
        <v>69</v>
      </c>
    </row>
    <row r="5" customFormat="false" ht="15" hidden="false" customHeight="false" outlineLevel="0" collapsed="false">
      <c r="A5" s="12" t="s">
        <v>77</v>
      </c>
      <c r="B5" s="12" t="s">
        <v>62</v>
      </c>
      <c r="C5" s="12" t="s">
        <v>78</v>
      </c>
      <c r="D5" s="12" t="s">
        <v>79</v>
      </c>
      <c r="E5" s="12" t="s">
        <v>80</v>
      </c>
      <c r="F5" s="12" t="s">
        <v>81</v>
      </c>
      <c r="G5" s="12" t="s">
        <v>75</v>
      </c>
      <c r="H5" s="12" t="s">
        <v>68</v>
      </c>
      <c r="I5" s="12" t="s">
        <v>82</v>
      </c>
      <c r="J5" s="13" t="s">
        <v>69</v>
      </c>
    </row>
    <row r="6" customFormat="false" ht="15" hidden="false" customHeight="false" outlineLevel="0" collapsed="false">
      <c r="A6" s="12" t="s">
        <v>83</v>
      </c>
      <c r="B6" s="12" t="s">
        <v>84</v>
      </c>
      <c r="C6" s="12" t="s">
        <v>85</v>
      </c>
      <c r="D6" s="12" t="s">
        <v>86</v>
      </c>
      <c r="E6" s="12" t="s">
        <v>87</v>
      </c>
      <c r="F6" s="12" t="s">
        <v>88</v>
      </c>
      <c r="G6" s="12" t="s">
        <v>67</v>
      </c>
      <c r="H6" s="12" t="s">
        <v>68</v>
      </c>
      <c r="I6" s="12" t="s">
        <v>89</v>
      </c>
      <c r="J6" s="13" t="s">
        <v>69</v>
      </c>
    </row>
    <row r="7" customFormat="false" ht="15" hidden="false" customHeight="false" outlineLevel="0" collapsed="false">
      <c r="A7" s="12" t="s">
        <v>90</v>
      </c>
      <c r="B7" s="12" t="s">
        <v>84</v>
      </c>
      <c r="C7" s="12" t="s">
        <v>91</v>
      </c>
      <c r="D7" s="12" t="s">
        <v>92</v>
      </c>
      <c r="E7" s="12" t="s">
        <v>93</v>
      </c>
      <c r="F7" s="12" t="s">
        <v>94</v>
      </c>
      <c r="G7" s="12" t="s">
        <v>75</v>
      </c>
      <c r="H7" s="12" t="s">
        <v>95</v>
      </c>
      <c r="I7" s="12" t="s">
        <v>25</v>
      </c>
      <c r="J7" s="13" t="s">
        <v>69</v>
      </c>
    </row>
    <row r="8" customFormat="false" ht="15" hidden="false" customHeight="false" outlineLevel="0" collapsed="false">
      <c r="A8" s="12" t="s">
        <v>96</v>
      </c>
      <c r="B8" s="12" t="s">
        <v>97</v>
      </c>
      <c r="C8" s="12" t="s">
        <v>98</v>
      </c>
      <c r="D8" s="12" t="s">
        <v>99</v>
      </c>
      <c r="E8" s="12" t="s">
        <v>100</v>
      </c>
      <c r="F8" s="12" t="s">
        <v>101</v>
      </c>
      <c r="G8" s="12" t="s">
        <v>75</v>
      </c>
      <c r="H8" s="12" t="s">
        <v>68</v>
      </c>
      <c r="I8" s="12" t="s">
        <v>97</v>
      </c>
      <c r="J8" s="13" t="s">
        <v>69</v>
      </c>
    </row>
    <row r="9" customFormat="false" ht="15" hidden="false" customHeight="false" outlineLevel="0" collapsed="false">
      <c r="A9" s="12" t="s">
        <v>102</v>
      </c>
      <c r="B9" s="12" t="s">
        <v>103</v>
      </c>
      <c r="C9" s="12" t="s">
        <v>104</v>
      </c>
      <c r="D9" s="12" t="s">
        <v>105</v>
      </c>
      <c r="E9" s="12" t="s">
        <v>106</v>
      </c>
      <c r="F9" s="12" t="s">
        <v>107</v>
      </c>
      <c r="G9" s="12" t="s">
        <v>108</v>
      </c>
      <c r="H9" s="12" t="s">
        <v>109</v>
      </c>
      <c r="I9" s="12" t="s">
        <v>31</v>
      </c>
      <c r="J9" s="13" t="s">
        <v>69</v>
      </c>
    </row>
    <row r="10" customFormat="false" ht="15" hidden="false" customHeight="false" outlineLevel="0" collapsed="false">
      <c r="A10" s="12" t="s">
        <v>110</v>
      </c>
      <c r="B10" s="12" t="s">
        <v>103</v>
      </c>
      <c r="C10" s="12" t="s">
        <v>111</v>
      </c>
      <c r="D10" s="12" t="s">
        <v>112</v>
      </c>
      <c r="E10" s="12" t="s">
        <v>113</v>
      </c>
      <c r="F10" s="12" t="s">
        <v>114</v>
      </c>
      <c r="G10" s="12" t="s">
        <v>108</v>
      </c>
      <c r="H10" s="12" t="s">
        <v>115</v>
      </c>
      <c r="I10" s="12" t="s">
        <v>31</v>
      </c>
      <c r="J10" s="13" t="s">
        <v>69</v>
      </c>
    </row>
    <row r="11" customFormat="false" ht="15" hidden="false" customHeight="false" outlineLevel="0" collapsed="false">
      <c r="A11" s="12" t="s">
        <v>116</v>
      </c>
      <c r="B11" s="12" t="s">
        <v>117</v>
      </c>
      <c r="C11" s="12" t="s">
        <v>118</v>
      </c>
      <c r="D11" s="12" t="s">
        <v>119</v>
      </c>
      <c r="E11" s="12" t="s">
        <v>120</v>
      </c>
      <c r="F11" s="12" t="s">
        <v>121</v>
      </c>
      <c r="G11" s="12" t="s">
        <v>122</v>
      </c>
      <c r="H11" s="12" t="s">
        <v>123</v>
      </c>
      <c r="I11" s="12" t="s">
        <v>124</v>
      </c>
      <c r="J11" s="13" t="s">
        <v>69</v>
      </c>
    </row>
    <row r="12" customFormat="false" ht="15" hidden="false" customHeight="false" outlineLevel="0" collapsed="false">
      <c r="A12" s="12" t="s">
        <v>125</v>
      </c>
      <c r="B12" s="12" t="s">
        <v>121</v>
      </c>
      <c r="C12" s="12" t="s">
        <v>126</v>
      </c>
      <c r="D12" s="12" t="s">
        <v>127</v>
      </c>
      <c r="E12" s="12" t="s">
        <v>128</v>
      </c>
      <c r="F12" s="12" t="s">
        <v>129</v>
      </c>
      <c r="G12" s="12" t="s">
        <v>122</v>
      </c>
      <c r="H12" s="12" t="s">
        <v>130</v>
      </c>
      <c r="I12" s="12" t="s">
        <v>131</v>
      </c>
      <c r="J12" s="13" t="s">
        <v>69</v>
      </c>
    </row>
    <row r="13" customFormat="false" ht="23.85" hidden="false" customHeight="false" outlineLevel="0" collapsed="false">
      <c r="A13" s="12" t="s">
        <v>132</v>
      </c>
      <c r="B13" s="12" t="s">
        <v>121</v>
      </c>
      <c r="C13" s="12" t="s">
        <v>133</v>
      </c>
      <c r="D13" s="12" t="s">
        <v>134</v>
      </c>
      <c r="E13" s="12" t="s">
        <v>135</v>
      </c>
      <c r="F13" s="12" t="s">
        <v>121</v>
      </c>
      <c r="G13" s="12" t="s">
        <v>75</v>
      </c>
      <c r="H13" s="12" t="s">
        <v>136</v>
      </c>
      <c r="I13" s="12" t="s">
        <v>137</v>
      </c>
      <c r="J13" s="13" t="s">
        <v>69</v>
      </c>
    </row>
    <row r="14" customFormat="false" ht="15" hidden="false" customHeight="false" outlineLevel="0" collapsed="false">
      <c r="A14" s="12" t="s">
        <v>138</v>
      </c>
      <c r="B14" s="12" t="s">
        <v>121</v>
      </c>
      <c r="C14" s="12" t="s">
        <v>139</v>
      </c>
      <c r="D14" s="12" t="s">
        <v>140</v>
      </c>
      <c r="E14" s="12" t="s">
        <v>141</v>
      </c>
      <c r="F14" s="12" t="s">
        <v>142</v>
      </c>
      <c r="G14" s="12" t="s">
        <v>75</v>
      </c>
      <c r="H14" s="12" t="s">
        <v>143</v>
      </c>
      <c r="I14" s="12" t="s">
        <v>35</v>
      </c>
      <c r="J14" s="13" t="s">
        <v>69</v>
      </c>
    </row>
    <row r="15" customFormat="false" ht="15" hidden="false" customHeight="false" outlineLevel="0" collapsed="false">
      <c r="A15" s="12" t="s">
        <v>144</v>
      </c>
      <c r="B15" s="12" t="s">
        <v>145</v>
      </c>
      <c r="C15" s="12" t="s">
        <v>146</v>
      </c>
      <c r="D15" s="12" t="s">
        <v>147</v>
      </c>
      <c r="E15" s="12" t="s">
        <v>148</v>
      </c>
      <c r="F15" s="12" t="s">
        <v>74</v>
      </c>
      <c r="G15" s="12" t="s">
        <v>75</v>
      </c>
      <c r="H15" s="12" t="s">
        <v>149</v>
      </c>
      <c r="I15" s="12" t="s">
        <v>150</v>
      </c>
      <c r="J15" s="13" t="s">
        <v>69</v>
      </c>
    </row>
    <row r="16" customFormat="false" ht="15" hidden="false" customHeight="false" outlineLevel="0" collapsed="false">
      <c r="A16" s="12" t="s">
        <v>151</v>
      </c>
      <c r="B16" s="12" t="s">
        <v>107</v>
      </c>
      <c r="C16" s="12" t="s">
        <v>152</v>
      </c>
      <c r="D16" s="12" t="s">
        <v>153</v>
      </c>
      <c r="E16" s="12" t="s">
        <v>154</v>
      </c>
      <c r="F16" s="12" t="s">
        <v>107</v>
      </c>
      <c r="G16" s="12" t="s">
        <v>122</v>
      </c>
      <c r="H16" s="12" t="s">
        <v>155</v>
      </c>
      <c r="I16" s="12" t="s">
        <v>35</v>
      </c>
      <c r="J16" s="13" t="s">
        <v>69</v>
      </c>
    </row>
    <row r="17" customFormat="false" ht="22.35" hidden="false" customHeight="false" outlineLevel="0" collapsed="false">
      <c r="A17" s="12" t="s">
        <v>156</v>
      </c>
      <c r="B17" s="12" t="s">
        <v>157</v>
      </c>
      <c r="C17" s="12" t="s">
        <v>158</v>
      </c>
      <c r="D17" s="12" t="s">
        <v>159</v>
      </c>
      <c r="E17" s="12" t="s">
        <v>160</v>
      </c>
      <c r="F17" s="12" t="s">
        <v>161</v>
      </c>
      <c r="G17" s="12" t="s">
        <v>122</v>
      </c>
      <c r="H17" s="12" t="s">
        <v>162</v>
      </c>
      <c r="I17" s="12" t="s">
        <v>163</v>
      </c>
      <c r="J17" s="13" t="s">
        <v>164</v>
      </c>
    </row>
    <row r="18" customFormat="false" ht="15" hidden="false" customHeight="false" outlineLevel="0" collapsed="false">
      <c r="A18" s="12" t="s">
        <v>165</v>
      </c>
      <c r="B18" s="12" t="s">
        <v>166</v>
      </c>
      <c r="C18" s="12" t="s">
        <v>167</v>
      </c>
      <c r="D18" s="12" t="s">
        <v>168</v>
      </c>
      <c r="E18" s="12" t="s">
        <v>169</v>
      </c>
      <c r="F18" s="12" t="s">
        <v>170</v>
      </c>
      <c r="G18" s="12" t="s">
        <v>171</v>
      </c>
      <c r="H18" s="12" t="s">
        <v>172</v>
      </c>
      <c r="I18" s="12" t="s">
        <v>35</v>
      </c>
      <c r="J18" s="13" t="s">
        <v>69</v>
      </c>
    </row>
    <row r="19" customFormat="false" ht="23.85" hidden="false" customHeight="false" outlineLevel="0" collapsed="false">
      <c r="A19" s="12" t="s">
        <v>173</v>
      </c>
      <c r="B19" s="12" t="s">
        <v>174</v>
      </c>
      <c r="C19" s="12" t="s">
        <v>175</v>
      </c>
      <c r="D19" s="12" t="s">
        <v>176</v>
      </c>
      <c r="E19" s="12" t="s">
        <v>177</v>
      </c>
      <c r="F19" s="12" t="s">
        <v>174</v>
      </c>
      <c r="G19" s="12" t="s">
        <v>122</v>
      </c>
      <c r="H19" s="12" t="s">
        <v>123</v>
      </c>
      <c r="I19" s="12" t="s">
        <v>35</v>
      </c>
      <c r="J19" s="13" t="s">
        <v>69</v>
      </c>
    </row>
    <row r="20" customFormat="false" ht="15" hidden="false" customHeight="false" outlineLevel="0" collapsed="false">
      <c r="A20" s="12" t="s">
        <v>178</v>
      </c>
      <c r="B20" s="12" t="s">
        <v>179</v>
      </c>
      <c r="C20" s="12" t="s">
        <v>180</v>
      </c>
      <c r="D20" s="12" t="s">
        <v>181</v>
      </c>
      <c r="E20" s="12" t="s">
        <v>182</v>
      </c>
      <c r="F20" s="12" t="s">
        <v>142</v>
      </c>
      <c r="G20" s="12" t="s">
        <v>183</v>
      </c>
      <c r="H20" s="12" t="s">
        <v>184</v>
      </c>
      <c r="I20" s="12" t="s">
        <v>163</v>
      </c>
      <c r="J20" s="13" t="s">
        <v>164</v>
      </c>
    </row>
    <row r="21" customFormat="false" ht="15" hidden="false" customHeight="false" outlineLevel="0" collapsed="false">
      <c r="A21" s="12" t="s">
        <v>185</v>
      </c>
      <c r="B21" s="12" t="s">
        <v>186</v>
      </c>
      <c r="C21" s="12" t="s">
        <v>187</v>
      </c>
      <c r="D21" s="12" t="s">
        <v>188</v>
      </c>
      <c r="E21" s="12" t="s">
        <v>189</v>
      </c>
      <c r="F21" s="12" t="s">
        <v>121</v>
      </c>
      <c r="G21" s="12" t="s">
        <v>67</v>
      </c>
      <c r="H21" s="12" t="s">
        <v>190</v>
      </c>
      <c r="I21" s="12" t="s">
        <v>163</v>
      </c>
      <c r="J21" s="13" t="s">
        <v>164</v>
      </c>
    </row>
    <row r="22" customFormat="false" ht="15" hidden="false" customHeight="false" outlineLevel="0" collapsed="false">
      <c r="A22" s="12" t="s">
        <v>191</v>
      </c>
      <c r="B22" s="12" t="s">
        <v>192</v>
      </c>
      <c r="C22" s="12" t="s">
        <v>193</v>
      </c>
      <c r="D22" s="12" t="s">
        <v>194</v>
      </c>
      <c r="E22" s="12" t="s">
        <v>195</v>
      </c>
      <c r="F22" s="12" t="s">
        <v>196</v>
      </c>
      <c r="G22" s="12" t="s">
        <v>197</v>
      </c>
      <c r="H22" s="12" t="s">
        <v>198</v>
      </c>
      <c r="I22" s="12" t="s">
        <v>163</v>
      </c>
      <c r="J22" s="13" t="s">
        <v>164</v>
      </c>
    </row>
    <row r="23" customFormat="false" ht="15" hidden="false" customHeight="false" outlineLevel="0" collapsed="false">
      <c r="A23" s="12" t="s">
        <v>199</v>
      </c>
      <c r="B23" s="12" t="s">
        <v>84</v>
      </c>
      <c r="C23" s="12" t="s">
        <v>200</v>
      </c>
      <c r="D23" s="12" t="s">
        <v>201</v>
      </c>
      <c r="E23" s="12" t="s">
        <v>202</v>
      </c>
      <c r="F23" s="12" t="s">
        <v>94</v>
      </c>
      <c r="G23" s="12" t="s">
        <v>75</v>
      </c>
      <c r="H23" s="12" t="s">
        <v>203</v>
      </c>
      <c r="I23" s="12" t="s">
        <v>89</v>
      </c>
      <c r="J23" s="13" t="s">
        <v>69</v>
      </c>
    </row>
    <row r="24" customFormat="false" ht="15" hidden="false" customHeight="false" outlineLevel="0" collapsed="false">
      <c r="A24" s="12" t="s">
        <v>204</v>
      </c>
      <c r="B24" s="12" t="s">
        <v>205</v>
      </c>
      <c r="C24" s="12" t="s">
        <v>206</v>
      </c>
      <c r="D24" s="12" t="s">
        <v>207</v>
      </c>
      <c r="E24" s="12" t="s">
        <v>208</v>
      </c>
      <c r="F24" s="12" t="s">
        <v>209</v>
      </c>
      <c r="G24" s="12" t="s">
        <v>210</v>
      </c>
      <c r="H24" s="12" t="s">
        <v>211</v>
      </c>
      <c r="I24" s="12" t="s">
        <v>163</v>
      </c>
      <c r="J24" s="13" t="s">
        <v>164</v>
      </c>
    </row>
    <row r="25" customFormat="false" ht="15" hidden="false" customHeight="false" outlineLevel="0" collapsed="false">
      <c r="A25" s="12" t="s">
        <v>212</v>
      </c>
      <c r="B25" s="12" t="s">
        <v>213</v>
      </c>
      <c r="C25" s="12" t="s">
        <v>214</v>
      </c>
      <c r="D25" s="12" t="s">
        <v>215</v>
      </c>
      <c r="E25" s="12" t="s">
        <v>208</v>
      </c>
      <c r="F25" s="12" t="s">
        <v>216</v>
      </c>
      <c r="G25" s="12" t="s">
        <v>217</v>
      </c>
      <c r="H25" s="12" t="s">
        <v>218</v>
      </c>
      <c r="I25" s="12" t="s">
        <v>163</v>
      </c>
      <c r="J25" s="13" t="s">
        <v>164</v>
      </c>
    </row>
    <row r="26" customFormat="false" ht="23.85" hidden="false" customHeight="false" outlineLevel="0" collapsed="false">
      <c r="A26" s="12" t="s">
        <v>219</v>
      </c>
      <c r="B26" s="12" t="s">
        <v>107</v>
      </c>
      <c r="C26" s="12" t="s">
        <v>220</v>
      </c>
      <c r="D26" s="12" t="s">
        <v>221</v>
      </c>
      <c r="E26" s="12" t="s">
        <v>222</v>
      </c>
      <c r="F26" s="12" t="s">
        <v>107</v>
      </c>
      <c r="G26" s="12" t="s">
        <v>122</v>
      </c>
      <c r="H26" s="12" t="s">
        <v>223</v>
      </c>
      <c r="I26" s="12" t="s">
        <v>163</v>
      </c>
      <c r="J26" s="13" t="s">
        <v>164</v>
      </c>
    </row>
    <row r="27" customFormat="false" ht="23.85" hidden="false" customHeight="false" outlineLevel="0" collapsed="false">
      <c r="A27" s="12" t="s">
        <v>224</v>
      </c>
      <c r="B27" s="12" t="s">
        <v>192</v>
      </c>
      <c r="C27" s="12" t="s">
        <v>225</v>
      </c>
      <c r="D27" s="12" t="s">
        <v>226</v>
      </c>
      <c r="E27" s="12" t="s">
        <v>227</v>
      </c>
      <c r="F27" s="12" t="s">
        <v>196</v>
      </c>
      <c r="G27" s="12" t="s">
        <v>75</v>
      </c>
      <c r="H27" s="12" t="s">
        <v>228</v>
      </c>
      <c r="I27" s="12" t="s">
        <v>163</v>
      </c>
      <c r="J27" s="13" t="s">
        <v>164</v>
      </c>
    </row>
  </sheetData>
  <dataValidations count="1">
    <dataValidation allowBlank="true" errorStyle="stop" operator="between" showDropDown="false" showErrorMessage="false" showInputMessage="false" sqref="J3:J200" type="list">
      <formula1>"DEMO,รอข้อมูล,ได้แล้ว"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I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58"/>
    <col collapsed="false" customWidth="true" hidden="false" outlineLevel="0" max="5" min="5" style="0" width="26"/>
    <col collapsed="false" customWidth="true" hidden="false" outlineLevel="0" max="6" min="6" style="0" width="30"/>
    <col collapsed="false" customWidth="true" hidden="false" outlineLevel="0" max="7" min="7" style="0" width="14"/>
    <col collapsed="false" customWidth="true" hidden="false" outlineLevel="0" max="8" min="8" style="0" width="36"/>
    <col collapsed="false" customWidth="true" hidden="false" outlineLevel="0" max="9" min="9" style="0" width="24"/>
  </cols>
  <sheetData>
    <row r="1" customFormat="false" ht="15" hidden="false" customHeight="false" outlineLevel="0" collapsed="false">
      <c r="A1" s="8" t="s">
        <v>41</v>
      </c>
      <c r="B1" s="8" t="s">
        <v>229</v>
      </c>
      <c r="C1" s="8" t="s">
        <v>230</v>
      </c>
      <c r="D1" s="9" t="s">
        <v>231</v>
      </c>
      <c r="E1" s="8" t="s">
        <v>232</v>
      </c>
      <c r="F1" s="8" t="s">
        <v>233</v>
      </c>
      <c r="G1" s="8" t="s">
        <v>48</v>
      </c>
      <c r="H1" s="10" t="s">
        <v>234</v>
      </c>
      <c r="I1" s="8" t="s">
        <v>235</v>
      </c>
    </row>
    <row r="2" customFormat="false" ht="31.5" hidden="false" customHeight="true" outlineLevel="0" collapsed="false">
      <c r="A2" s="11" t="s">
        <v>51</v>
      </c>
      <c r="B2" s="11" t="s">
        <v>236</v>
      </c>
      <c r="C2" s="11" t="s">
        <v>237</v>
      </c>
      <c r="D2" s="11" t="s">
        <v>238</v>
      </c>
      <c r="E2" s="11" t="s">
        <v>239</v>
      </c>
      <c r="F2" s="11" t="s">
        <v>55</v>
      </c>
      <c r="G2" s="11" t="s">
        <v>58</v>
      </c>
      <c r="H2" s="11" t="s">
        <v>240</v>
      </c>
      <c r="I2" s="11" t="s">
        <v>241</v>
      </c>
    </row>
    <row r="3" customFormat="false" ht="23.85" hidden="false" customHeight="false" outlineLevel="0" collapsed="false">
      <c r="A3" s="12" t="s">
        <v>242</v>
      </c>
      <c r="B3" s="12" t="s">
        <v>243</v>
      </c>
      <c r="C3" s="12" t="s">
        <v>244</v>
      </c>
      <c r="D3" s="12" t="s">
        <v>245</v>
      </c>
      <c r="E3" s="12" t="s">
        <v>246</v>
      </c>
      <c r="F3" s="12" t="s">
        <v>247</v>
      </c>
      <c r="G3" s="12" t="s">
        <v>248</v>
      </c>
      <c r="H3" s="13"/>
      <c r="I3" s="12" t="s">
        <v>249</v>
      </c>
    </row>
    <row r="4" customFormat="false" ht="15" hidden="false" customHeight="false" outlineLevel="0" collapsed="false">
      <c r="A4" s="12" t="s">
        <v>250</v>
      </c>
      <c r="B4" s="12" t="s">
        <v>243</v>
      </c>
      <c r="C4" s="12" t="s">
        <v>251</v>
      </c>
      <c r="D4" s="12" t="s">
        <v>252</v>
      </c>
      <c r="E4" s="12" t="s">
        <v>253</v>
      </c>
      <c r="F4" s="12" t="s">
        <v>254</v>
      </c>
      <c r="G4" s="12" t="s">
        <v>255</v>
      </c>
      <c r="H4" s="13"/>
      <c r="I4" s="12"/>
    </row>
    <row r="5" customFormat="false" ht="15" hidden="false" customHeight="false" outlineLevel="0" collapsed="false">
      <c r="A5" s="12" t="s">
        <v>256</v>
      </c>
      <c r="B5" s="12" t="s">
        <v>243</v>
      </c>
      <c r="C5" s="12" t="s">
        <v>257</v>
      </c>
      <c r="D5" s="12" t="s">
        <v>258</v>
      </c>
      <c r="E5" s="12" t="s">
        <v>259</v>
      </c>
      <c r="F5" s="12" t="s">
        <v>260</v>
      </c>
      <c r="G5" s="12" t="s">
        <v>261</v>
      </c>
      <c r="H5" s="13"/>
      <c r="I5" s="12"/>
    </row>
    <row r="6" customFormat="false" ht="15" hidden="false" customHeight="false" outlineLevel="0" collapsed="false">
      <c r="A6" s="12" t="s">
        <v>262</v>
      </c>
      <c r="B6" s="12" t="s">
        <v>243</v>
      </c>
      <c r="C6" s="12" t="s">
        <v>263</v>
      </c>
      <c r="D6" s="12" t="s">
        <v>264</v>
      </c>
      <c r="E6" s="12" t="s">
        <v>265</v>
      </c>
      <c r="F6" s="12" t="s">
        <v>266</v>
      </c>
      <c r="G6" s="12" t="s">
        <v>267</v>
      </c>
      <c r="H6" s="13"/>
      <c r="I6" s="12"/>
    </row>
    <row r="7" customFormat="false" ht="35.05" hidden="false" customHeight="false" outlineLevel="0" collapsed="false">
      <c r="A7" s="12" t="s">
        <v>268</v>
      </c>
      <c r="B7" s="12" t="s">
        <v>243</v>
      </c>
      <c r="C7" s="12" t="s">
        <v>257</v>
      </c>
      <c r="D7" s="12" t="s">
        <v>269</v>
      </c>
      <c r="E7" s="12" t="s">
        <v>270</v>
      </c>
      <c r="F7" s="12" t="s">
        <v>271</v>
      </c>
      <c r="G7" s="12" t="s">
        <v>272</v>
      </c>
      <c r="H7" s="13"/>
      <c r="I7" s="12"/>
    </row>
    <row r="8" customFormat="false" ht="23.85" hidden="false" customHeight="false" outlineLevel="0" collapsed="false">
      <c r="A8" s="12" t="s">
        <v>273</v>
      </c>
      <c r="B8" s="12" t="s">
        <v>243</v>
      </c>
      <c r="C8" s="12" t="s">
        <v>274</v>
      </c>
      <c r="D8" s="12" t="s">
        <v>275</v>
      </c>
      <c r="E8" s="12" t="s">
        <v>276</v>
      </c>
      <c r="F8" s="12" t="s">
        <v>277</v>
      </c>
      <c r="G8" s="12" t="s">
        <v>278</v>
      </c>
      <c r="H8" s="13"/>
      <c r="I8" s="12" t="s">
        <v>279</v>
      </c>
    </row>
    <row r="9" customFormat="false" ht="15" hidden="false" customHeight="false" outlineLevel="0" collapsed="false">
      <c r="A9" s="12" t="s">
        <v>280</v>
      </c>
      <c r="B9" s="12" t="s">
        <v>243</v>
      </c>
      <c r="C9" s="12" t="s">
        <v>263</v>
      </c>
      <c r="D9" s="12" t="s">
        <v>281</v>
      </c>
      <c r="E9" s="12" t="s">
        <v>282</v>
      </c>
      <c r="F9" s="12" t="s">
        <v>283</v>
      </c>
      <c r="G9" s="12" t="s">
        <v>284</v>
      </c>
      <c r="H9" s="13"/>
      <c r="I9" s="12"/>
    </row>
    <row r="10" customFormat="false" ht="15" hidden="false" customHeight="false" outlineLevel="0" collapsed="false">
      <c r="A10" s="12" t="s">
        <v>285</v>
      </c>
      <c r="B10" s="12" t="s">
        <v>243</v>
      </c>
      <c r="C10" s="12" t="s">
        <v>286</v>
      </c>
      <c r="D10" s="12" t="s">
        <v>287</v>
      </c>
      <c r="E10" s="12" t="s">
        <v>288</v>
      </c>
      <c r="F10" s="12" t="s">
        <v>289</v>
      </c>
      <c r="G10" s="12" t="s">
        <v>198</v>
      </c>
      <c r="H10" s="13"/>
      <c r="I10" s="12" t="s">
        <v>290</v>
      </c>
    </row>
    <row r="11" customFormat="false" ht="15" hidden="false" customHeight="false" outlineLevel="0" collapsed="false">
      <c r="A11" s="12" t="s">
        <v>291</v>
      </c>
      <c r="B11" s="12" t="s">
        <v>243</v>
      </c>
      <c r="C11" s="12" t="s">
        <v>257</v>
      </c>
      <c r="D11" s="12" t="s">
        <v>292</v>
      </c>
      <c r="E11" s="12" t="s">
        <v>293</v>
      </c>
      <c r="F11" s="12" t="s">
        <v>294</v>
      </c>
      <c r="G11" s="12" t="s">
        <v>184</v>
      </c>
      <c r="H11" s="13"/>
      <c r="I11" s="12" t="s">
        <v>295</v>
      </c>
    </row>
    <row r="12" customFormat="false" ht="15" hidden="false" customHeight="false" outlineLevel="0" collapsed="false">
      <c r="A12" s="12" t="s">
        <v>296</v>
      </c>
      <c r="B12" s="12" t="s">
        <v>243</v>
      </c>
      <c r="C12" s="12" t="s">
        <v>244</v>
      </c>
      <c r="D12" s="12" t="s">
        <v>297</v>
      </c>
      <c r="E12" s="12" t="s">
        <v>298</v>
      </c>
      <c r="F12" s="12" t="s">
        <v>299</v>
      </c>
      <c r="G12" s="12" t="s">
        <v>300</v>
      </c>
      <c r="H12" s="13"/>
      <c r="I12" s="12"/>
    </row>
    <row r="13" customFormat="false" ht="15" hidden="false" customHeight="false" outlineLevel="0" collapsed="false">
      <c r="A13" s="12" t="s">
        <v>301</v>
      </c>
      <c r="B13" s="12" t="s">
        <v>302</v>
      </c>
      <c r="C13" s="12" t="s">
        <v>121</v>
      </c>
      <c r="D13" s="12" t="s">
        <v>303</v>
      </c>
      <c r="E13" s="12" t="s">
        <v>304</v>
      </c>
      <c r="F13" s="12" t="s">
        <v>305</v>
      </c>
      <c r="G13" s="12" t="s">
        <v>132</v>
      </c>
      <c r="H13" s="13"/>
      <c r="I13" s="12" t="s">
        <v>306</v>
      </c>
    </row>
    <row r="14" customFormat="false" ht="15" hidden="false" customHeight="false" outlineLevel="0" collapsed="false">
      <c r="A14" s="12" t="s">
        <v>307</v>
      </c>
      <c r="B14" s="12" t="s">
        <v>302</v>
      </c>
      <c r="C14" s="12" t="s">
        <v>121</v>
      </c>
      <c r="D14" s="12" t="s">
        <v>308</v>
      </c>
      <c r="E14" s="12" t="s">
        <v>309</v>
      </c>
      <c r="F14" s="12" t="s">
        <v>310</v>
      </c>
      <c r="G14" s="12" t="s">
        <v>136</v>
      </c>
      <c r="H14" s="13"/>
      <c r="I14" s="12"/>
    </row>
    <row r="15" customFormat="false" ht="15" hidden="false" customHeight="false" outlineLevel="0" collapsed="false">
      <c r="A15" s="12" t="s">
        <v>311</v>
      </c>
      <c r="B15" s="12" t="s">
        <v>302</v>
      </c>
      <c r="C15" s="12" t="s">
        <v>121</v>
      </c>
      <c r="D15" s="12" t="s">
        <v>312</v>
      </c>
      <c r="E15" s="12" t="s">
        <v>313</v>
      </c>
      <c r="F15" s="12" t="s">
        <v>314</v>
      </c>
      <c r="G15" s="12" t="s">
        <v>130</v>
      </c>
      <c r="H15" s="13"/>
      <c r="I15" s="12"/>
    </row>
    <row r="16" customFormat="false" ht="15" hidden="false" customHeight="false" outlineLevel="0" collapsed="false">
      <c r="A16" s="12" t="s">
        <v>315</v>
      </c>
      <c r="B16" s="12" t="s">
        <v>302</v>
      </c>
      <c r="C16" s="12" t="s">
        <v>121</v>
      </c>
      <c r="D16" s="12" t="s">
        <v>316</v>
      </c>
      <c r="E16" s="12" t="s">
        <v>317</v>
      </c>
      <c r="F16" s="12" t="s">
        <v>318</v>
      </c>
      <c r="G16" s="12" t="s">
        <v>319</v>
      </c>
      <c r="H16" s="13"/>
      <c r="I16" s="12"/>
    </row>
    <row r="17" customFormat="false" ht="15" hidden="false" customHeight="false" outlineLevel="0" collapsed="false">
      <c r="A17" s="12" t="s">
        <v>320</v>
      </c>
      <c r="B17" s="12" t="s">
        <v>302</v>
      </c>
      <c r="C17" s="12" t="s">
        <v>121</v>
      </c>
      <c r="D17" s="12" t="s">
        <v>321</v>
      </c>
      <c r="E17" s="12" t="s">
        <v>322</v>
      </c>
      <c r="F17" s="12" t="s">
        <v>323</v>
      </c>
      <c r="G17" s="12" t="s">
        <v>324</v>
      </c>
      <c r="H17" s="13"/>
      <c r="I17" s="12" t="s">
        <v>325</v>
      </c>
    </row>
    <row r="18" customFormat="false" ht="15" hidden="false" customHeight="false" outlineLevel="0" collapsed="false">
      <c r="A18" s="12" t="s">
        <v>326</v>
      </c>
      <c r="B18" s="12" t="s">
        <v>302</v>
      </c>
      <c r="C18" s="12" t="s">
        <v>327</v>
      </c>
      <c r="D18" s="12" t="s">
        <v>328</v>
      </c>
      <c r="E18" s="12" t="s">
        <v>329</v>
      </c>
      <c r="F18" s="12" t="s">
        <v>330</v>
      </c>
      <c r="G18" s="12" t="s">
        <v>123</v>
      </c>
      <c r="H18" s="13"/>
      <c r="I18" s="12"/>
    </row>
    <row r="19" customFormat="false" ht="15" hidden="false" customHeight="false" outlineLevel="0" collapsed="false">
      <c r="A19" s="12" t="s">
        <v>331</v>
      </c>
      <c r="B19" s="12" t="s">
        <v>302</v>
      </c>
      <c r="C19" s="12" t="s">
        <v>332</v>
      </c>
      <c r="D19" s="12" t="s">
        <v>333</v>
      </c>
      <c r="E19" s="12" t="s">
        <v>334</v>
      </c>
      <c r="F19" s="12" t="s">
        <v>335</v>
      </c>
      <c r="G19" s="12" t="s">
        <v>336</v>
      </c>
      <c r="H19" s="13"/>
      <c r="I19" s="12" t="s">
        <v>337</v>
      </c>
    </row>
    <row r="20" customFormat="false" ht="15" hidden="false" customHeight="false" outlineLevel="0" collapsed="false">
      <c r="A20" s="12" t="s">
        <v>338</v>
      </c>
      <c r="B20" s="12" t="s">
        <v>339</v>
      </c>
      <c r="C20" s="12" t="s">
        <v>107</v>
      </c>
      <c r="D20" s="12" t="s">
        <v>340</v>
      </c>
      <c r="E20" s="12" t="s">
        <v>341</v>
      </c>
      <c r="F20" s="12" t="s">
        <v>342</v>
      </c>
      <c r="G20" s="12" t="s">
        <v>115</v>
      </c>
      <c r="H20" s="13"/>
      <c r="I20" s="12" t="s">
        <v>343</v>
      </c>
    </row>
    <row r="21" customFormat="false" ht="15" hidden="false" customHeight="false" outlineLevel="0" collapsed="false">
      <c r="A21" s="12" t="s">
        <v>344</v>
      </c>
      <c r="B21" s="12" t="s">
        <v>339</v>
      </c>
      <c r="C21" s="12" t="s">
        <v>107</v>
      </c>
      <c r="D21" s="12" t="s">
        <v>345</v>
      </c>
      <c r="E21" s="12" t="s">
        <v>346</v>
      </c>
      <c r="F21" s="12" t="s">
        <v>347</v>
      </c>
      <c r="G21" s="12" t="s">
        <v>348</v>
      </c>
      <c r="H21" s="13"/>
      <c r="I21" s="12"/>
    </row>
    <row r="22" customFormat="false" ht="15" hidden="false" customHeight="false" outlineLevel="0" collapsed="false">
      <c r="A22" s="12" t="s">
        <v>349</v>
      </c>
      <c r="B22" s="12" t="s">
        <v>339</v>
      </c>
      <c r="C22" s="12" t="s">
        <v>107</v>
      </c>
      <c r="D22" s="12" t="s">
        <v>350</v>
      </c>
      <c r="E22" s="12" t="s">
        <v>351</v>
      </c>
      <c r="F22" s="12" t="s">
        <v>352</v>
      </c>
      <c r="G22" s="12" t="s">
        <v>353</v>
      </c>
      <c r="H22" s="13"/>
      <c r="I22" s="12"/>
    </row>
    <row r="23" customFormat="false" ht="15" hidden="false" customHeight="false" outlineLevel="0" collapsed="false">
      <c r="A23" s="12" t="s">
        <v>354</v>
      </c>
      <c r="B23" s="12" t="s">
        <v>339</v>
      </c>
      <c r="C23" s="12" t="s">
        <v>107</v>
      </c>
      <c r="D23" s="12" t="s">
        <v>355</v>
      </c>
      <c r="E23" s="12" t="s">
        <v>356</v>
      </c>
      <c r="F23" s="12" t="s">
        <v>357</v>
      </c>
      <c r="G23" s="12" t="s">
        <v>358</v>
      </c>
      <c r="H23" s="13"/>
      <c r="I23" s="12"/>
    </row>
    <row r="24" customFormat="false" ht="15" hidden="false" customHeight="false" outlineLevel="0" collapsed="false">
      <c r="A24" s="12" t="s">
        <v>359</v>
      </c>
      <c r="B24" s="12" t="s">
        <v>339</v>
      </c>
      <c r="C24" s="12" t="s">
        <v>107</v>
      </c>
      <c r="D24" s="12" t="s">
        <v>360</v>
      </c>
      <c r="E24" s="12" t="s">
        <v>361</v>
      </c>
      <c r="F24" s="12" t="s">
        <v>362</v>
      </c>
      <c r="G24" s="12" t="s">
        <v>363</v>
      </c>
      <c r="H24" s="13"/>
      <c r="I24" s="12"/>
    </row>
    <row r="25" customFormat="false" ht="15" hidden="false" customHeight="false" outlineLevel="0" collapsed="false">
      <c r="A25" s="12" t="s">
        <v>364</v>
      </c>
      <c r="B25" s="12" t="s">
        <v>339</v>
      </c>
      <c r="C25" s="12" t="s">
        <v>107</v>
      </c>
      <c r="D25" s="12" t="s">
        <v>365</v>
      </c>
      <c r="E25" s="12" t="s">
        <v>366</v>
      </c>
      <c r="F25" s="12" t="s">
        <v>367</v>
      </c>
      <c r="G25" s="12" t="s">
        <v>368</v>
      </c>
      <c r="H25" s="13"/>
      <c r="I25" s="12"/>
    </row>
    <row r="26" customFormat="false" ht="15" hidden="false" customHeight="false" outlineLevel="0" collapsed="false">
      <c r="A26" s="12" t="s">
        <v>369</v>
      </c>
      <c r="B26" s="12" t="s">
        <v>339</v>
      </c>
      <c r="C26" s="12" t="s">
        <v>370</v>
      </c>
      <c r="D26" s="12" t="s">
        <v>371</v>
      </c>
      <c r="E26" s="12" t="s">
        <v>372</v>
      </c>
      <c r="F26" s="12" t="s">
        <v>141</v>
      </c>
      <c r="G26" s="12" t="s">
        <v>143</v>
      </c>
      <c r="H26" s="13"/>
      <c r="I26" s="12"/>
    </row>
    <row r="27" customFormat="false" ht="23.85" hidden="false" customHeight="false" outlineLevel="0" collapsed="false">
      <c r="A27" s="12" t="s">
        <v>373</v>
      </c>
      <c r="B27" s="12" t="s">
        <v>339</v>
      </c>
      <c r="C27" s="12" t="s">
        <v>107</v>
      </c>
      <c r="D27" s="12" t="s">
        <v>374</v>
      </c>
      <c r="E27" s="12" t="s">
        <v>375</v>
      </c>
      <c r="F27" s="12" t="s">
        <v>376</v>
      </c>
      <c r="G27" s="12" t="s">
        <v>155</v>
      </c>
      <c r="H27" s="13"/>
      <c r="I27" s="12" t="s">
        <v>377</v>
      </c>
    </row>
    <row r="28" customFormat="false" ht="22.35" hidden="false" customHeight="false" outlineLevel="0" collapsed="false">
      <c r="A28" s="12" t="s">
        <v>378</v>
      </c>
      <c r="B28" s="12" t="s">
        <v>339</v>
      </c>
      <c r="C28" s="12" t="s">
        <v>107</v>
      </c>
      <c r="D28" s="12" t="s">
        <v>379</v>
      </c>
      <c r="E28" s="12" t="s">
        <v>157</v>
      </c>
      <c r="F28" s="12" t="s">
        <v>380</v>
      </c>
      <c r="G28" s="12" t="s">
        <v>162</v>
      </c>
      <c r="H28" s="13"/>
      <c r="I28" s="12" t="s">
        <v>381</v>
      </c>
    </row>
    <row r="29" customFormat="false" ht="15" hidden="false" customHeight="false" outlineLevel="0" collapsed="false">
      <c r="A29" s="12" t="s">
        <v>382</v>
      </c>
      <c r="B29" s="12" t="s">
        <v>339</v>
      </c>
      <c r="C29" s="12" t="s">
        <v>383</v>
      </c>
      <c r="D29" s="12" t="s">
        <v>384</v>
      </c>
      <c r="E29" s="12" t="s">
        <v>385</v>
      </c>
      <c r="F29" s="12" t="s">
        <v>386</v>
      </c>
      <c r="G29" s="12" t="s">
        <v>387</v>
      </c>
      <c r="H29" s="13"/>
      <c r="I29" s="12"/>
    </row>
    <row r="30" customFormat="false" ht="15" hidden="false" customHeight="false" outlineLevel="0" collapsed="false">
      <c r="A30" s="12" t="s">
        <v>388</v>
      </c>
      <c r="B30" s="12" t="s">
        <v>389</v>
      </c>
      <c r="C30" s="12" t="s">
        <v>390</v>
      </c>
      <c r="D30" s="12" t="s">
        <v>391</v>
      </c>
      <c r="E30" s="12" t="s">
        <v>282</v>
      </c>
      <c r="F30" s="12" t="s">
        <v>392</v>
      </c>
      <c r="G30" s="12" t="s">
        <v>393</v>
      </c>
      <c r="H30" s="13"/>
      <c r="I30" s="12" t="s">
        <v>394</v>
      </c>
    </row>
    <row r="31" customFormat="false" ht="15" hidden="false" customHeight="false" outlineLevel="0" collapsed="false">
      <c r="A31" s="12" t="s">
        <v>395</v>
      </c>
      <c r="B31" s="12" t="s">
        <v>389</v>
      </c>
      <c r="C31" s="12" t="s">
        <v>396</v>
      </c>
      <c r="D31" s="12" t="s">
        <v>397</v>
      </c>
      <c r="E31" s="12" t="s">
        <v>398</v>
      </c>
      <c r="F31" s="12" t="s">
        <v>399</v>
      </c>
      <c r="G31" s="12" t="s">
        <v>400</v>
      </c>
      <c r="H31" s="13"/>
      <c r="I31" s="12"/>
    </row>
    <row r="32" customFormat="false" ht="15" hidden="false" customHeight="false" outlineLevel="0" collapsed="false">
      <c r="A32" s="12" t="s">
        <v>401</v>
      </c>
      <c r="B32" s="12" t="s">
        <v>389</v>
      </c>
      <c r="C32" s="12" t="s">
        <v>402</v>
      </c>
      <c r="D32" s="12" t="s">
        <v>403</v>
      </c>
      <c r="E32" s="12" t="s">
        <v>398</v>
      </c>
      <c r="F32" s="12" t="s">
        <v>404</v>
      </c>
      <c r="G32" s="12" t="s">
        <v>405</v>
      </c>
      <c r="H32" s="13"/>
      <c r="I32" s="12"/>
    </row>
    <row r="33" customFormat="false" ht="15" hidden="false" customHeight="false" outlineLevel="0" collapsed="false">
      <c r="A33" s="12" t="s">
        <v>406</v>
      </c>
      <c r="B33" s="12" t="s">
        <v>407</v>
      </c>
      <c r="C33" s="12" t="s">
        <v>408</v>
      </c>
      <c r="D33" s="12" t="s">
        <v>409</v>
      </c>
      <c r="E33" s="12" t="s">
        <v>410</v>
      </c>
      <c r="F33" s="12" t="s">
        <v>411</v>
      </c>
      <c r="G33" s="12" t="s">
        <v>172</v>
      </c>
      <c r="H33" s="13"/>
      <c r="I33" s="12"/>
    </row>
    <row r="34" customFormat="false" ht="23.85" hidden="false" customHeight="false" outlineLevel="0" collapsed="false">
      <c r="A34" s="12" t="s">
        <v>412</v>
      </c>
      <c r="B34" s="12" t="s">
        <v>407</v>
      </c>
      <c r="C34" s="12" t="s">
        <v>174</v>
      </c>
      <c r="D34" s="12" t="s">
        <v>413</v>
      </c>
      <c r="E34" s="12" t="s">
        <v>414</v>
      </c>
      <c r="F34" s="12" t="s">
        <v>415</v>
      </c>
      <c r="G34" s="12" t="s">
        <v>416</v>
      </c>
      <c r="H34" s="13"/>
      <c r="I34" s="12"/>
    </row>
    <row r="35" customFormat="false" ht="15" hidden="false" customHeight="false" outlineLevel="0" collapsed="false">
      <c r="A35" s="12" t="s">
        <v>417</v>
      </c>
      <c r="B35" s="12" t="s">
        <v>407</v>
      </c>
      <c r="C35" s="12" t="s">
        <v>74</v>
      </c>
      <c r="D35" s="12" t="s">
        <v>418</v>
      </c>
      <c r="E35" s="12" t="s">
        <v>419</v>
      </c>
      <c r="F35" s="12" t="s">
        <v>420</v>
      </c>
      <c r="G35" s="12" t="s">
        <v>149</v>
      </c>
      <c r="H35" s="13"/>
      <c r="I35" s="12" t="s">
        <v>421</v>
      </c>
    </row>
    <row r="36" customFormat="false" ht="15" hidden="false" customHeight="false" outlineLevel="0" collapsed="false">
      <c r="A36" s="12" t="s">
        <v>422</v>
      </c>
      <c r="B36" s="12" t="s">
        <v>407</v>
      </c>
      <c r="C36" s="12" t="s">
        <v>423</v>
      </c>
      <c r="D36" s="12" t="s">
        <v>424</v>
      </c>
      <c r="E36" s="12" t="s">
        <v>192</v>
      </c>
      <c r="F36" s="12" t="s">
        <v>425</v>
      </c>
      <c r="G36" s="12" t="s">
        <v>426</v>
      </c>
      <c r="H36" s="13"/>
      <c r="I36" s="12" t="s">
        <v>427</v>
      </c>
    </row>
    <row r="37" customFormat="false" ht="23.85" hidden="false" customHeight="false" outlineLevel="0" collapsed="false">
      <c r="A37" s="12" t="s">
        <v>428</v>
      </c>
      <c r="B37" s="12" t="s">
        <v>339</v>
      </c>
      <c r="C37" s="12" t="s">
        <v>107</v>
      </c>
      <c r="D37" s="12" t="s">
        <v>429</v>
      </c>
      <c r="E37" s="12" t="s">
        <v>430</v>
      </c>
      <c r="F37" s="12" t="s">
        <v>431</v>
      </c>
      <c r="G37" s="12" t="s">
        <v>223</v>
      </c>
      <c r="H37" s="13"/>
      <c r="I37" s="12" t="s">
        <v>432</v>
      </c>
    </row>
    <row r="38" customFormat="false" ht="15" hidden="false" customHeight="false" outlineLevel="0" collapsed="false">
      <c r="A38" s="12" t="s">
        <v>433</v>
      </c>
      <c r="B38" s="12" t="s">
        <v>302</v>
      </c>
      <c r="C38" s="12" t="s">
        <v>121</v>
      </c>
      <c r="D38" s="12" t="s">
        <v>434</v>
      </c>
      <c r="E38" s="12" t="s">
        <v>435</v>
      </c>
      <c r="F38" s="12" t="s">
        <v>436</v>
      </c>
      <c r="G38" s="12" t="s">
        <v>437</v>
      </c>
      <c r="H38" s="13"/>
      <c r="I38" s="12"/>
    </row>
    <row r="39" customFormat="false" ht="20.85" hidden="false" customHeight="false" outlineLevel="0" collapsed="false">
      <c r="A39" s="12" t="s">
        <v>438</v>
      </c>
      <c r="B39" s="12" t="s">
        <v>407</v>
      </c>
      <c r="C39" s="12" t="s">
        <v>423</v>
      </c>
      <c r="D39" s="12" t="s">
        <v>439</v>
      </c>
      <c r="E39" s="12" t="s">
        <v>440</v>
      </c>
      <c r="F39" s="12" t="s">
        <v>441</v>
      </c>
      <c r="G39" s="12" t="s">
        <v>228</v>
      </c>
      <c r="H39" s="13"/>
      <c r="I39" s="12" t="s">
        <v>442</v>
      </c>
    </row>
    <row r="40" customFormat="false" ht="15" hidden="false" customHeight="false" outlineLevel="0" collapsed="false">
      <c r="A40" s="12" t="s">
        <v>443</v>
      </c>
      <c r="B40" s="12" t="s">
        <v>444</v>
      </c>
      <c r="C40" s="12" t="s">
        <v>445</v>
      </c>
      <c r="D40" s="12" t="s">
        <v>446</v>
      </c>
      <c r="E40" s="12" t="s">
        <v>447</v>
      </c>
      <c r="F40" s="12" t="s">
        <v>448</v>
      </c>
      <c r="G40" s="12" t="s">
        <v>449</v>
      </c>
      <c r="H40" s="13"/>
      <c r="I40" s="12"/>
    </row>
    <row r="41" customFormat="false" ht="15" hidden="false" customHeight="false" outlineLevel="0" collapsed="false">
      <c r="A41" s="12" t="s">
        <v>450</v>
      </c>
      <c r="B41" s="12" t="s">
        <v>444</v>
      </c>
      <c r="C41" s="12" t="s">
        <v>445</v>
      </c>
      <c r="D41" s="12" t="s">
        <v>451</v>
      </c>
      <c r="E41" s="12" t="s">
        <v>452</v>
      </c>
      <c r="F41" s="12" t="s">
        <v>453</v>
      </c>
      <c r="G41" s="12" t="s">
        <v>454</v>
      </c>
      <c r="H41" s="13"/>
      <c r="I41" s="12"/>
    </row>
    <row r="42" customFormat="false" ht="22.35" hidden="false" customHeight="false" outlineLevel="0" collapsed="false">
      <c r="A42" s="12" t="s">
        <v>455</v>
      </c>
      <c r="B42" s="12" t="s">
        <v>444</v>
      </c>
      <c r="C42" s="12" t="s">
        <v>445</v>
      </c>
      <c r="D42" s="12" t="s">
        <v>456</v>
      </c>
      <c r="E42" s="12" t="s">
        <v>457</v>
      </c>
      <c r="F42" s="12" t="s">
        <v>458</v>
      </c>
      <c r="G42" s="12" t="s">
        <v>459</v>
      </c>
      <c r="H42" s="13"/>
      <c r="I42" s="12"/>
    </row>
    <row r="43" customFormat="false" ht="15" hidden="false" customHeight="false" outlineLevel="0" collapsed="false">
      <c r="A43" s="12" t="s">
        <v>460</v>
      </c>
      <c r="B43" s="12" t="s">
        <v>444</v>
      </c>
      <c r="C43" s="12" t="s">
        <v>445</v>
      </c>
      <c r="D43" s="12" t="s">
        <v>461</v>
      </c>
      <c r="E43" s="12" t="s">
        <v>462</v>
      </c>
      <c r="F43" s="12" t="s">
        <v>463</v>
      </c>
      <c r="G43" s="12" t="s">
        <v>464</v>
      </c>
      <c r="H43" s="13"/>
      <c r="I43" s="12"/>
    </row>
    <row r="44" customFormat="false" ht="23.85" hidden="false" customHeight="false" outlineLevel="0" collapsed="false">
      <c r="A44" s="12" t="s">
        <v>465</v>
      </c>
      <c r="B44" s="12" t="s">
        <v>444</v>
      </c>
      <c r="C44" s="12" t="s">
        <v>445</v>
      </c>
      <c r="D44" s="12" t="s">
        <v>466</v>
      </c>
      <c r="E44" s="12" t="s">
        <v>467</v>
      </c>
      <c r="F44" s="12" t="s">
        <v>468</v>
      </c>
      <c r="G44" s="12" t="s">
        <v>469</v>
      </c>
      <c r="H44" s="13"/>
      <c r="I44" s="12"/>
    </row>
    <row r="45" customFormat="false" ht="15" hidden="false" customHeight="false" outlineLevel="0" collapsed="false">
      <c r="A45" s="12" t="s">
        <v>470</v>
      </c>
      <c r="B45" s="12" t="s">
        <v>444</v>
      </c>
      <c r="C45" s="12" t="s">
        <v>445</v>
      </c>
      <c r="D45" s="12" t="s">
        <v>471</v>
      </c>
      <c r="E45" s="12" t="s">
        <v>472</v>
      </c>
      <c r="F45" s="12" t="s">
        <v>473</v>
      </c>
      <c r="G45" s="12" t="s">
        <v>474</v>
      </c>
      <c r="H45" s="13"/>
      <c r="I45" s="12"/>
    </row>
    <row r="46" customFormat="false" ht="15" hidden="false" customHeight="false" outlineLevel="0" collapsed="false">
      <c r="A46" s="12" t="s">
        <v>475</v>
      </c>
      <c r="B46" s="12" t="s">
        <v>444</v>
      </c>
      <c r="C46" s="12" t="s">
        <v>445</v>
      </c>
      <c r="D46" s="12" t="s">
        <v>476</v>
      </c>
      <c r="E46" s="12" t="s">
        <v>477</v>
      </c>
      <c r="F46" s="12" t="s">
        <v>478</v>
      </c>
      <c r="G46" s="12" t="s">
        <v>479</v>
      </c>
      <c r="H46" s="13"/>
      <c r="I46" s="12"/>
    </row>
    <row r="47" customFormat="false" ht="15" hidden="false" customHeight="false" outlineLevel="0" collapsed="false">
      <c r="A47" s="12" t="inlineStr">
        <is>
          <t>Q-38</t>
        </is>
      </c>
      <c r="B47" s="12" t="inlineStr">
        <is>
          <t>B</t>
        </is>
      </c>
      <c r="C47" s="12" t="inlineStr">
        <is>
          <t>จัดซื้อ</t>
        </is>
      </c>
      <c r="D47" s="12" t="inlineStr">
        <is>
          <t>คิวจัดซื้อถือว่าทันเวลาเมื่อส่ง PO ขออนุมัติภายในกี่ชั่วโมงทำการหลังคำขออนุมัติ</t>
        </is>
      </c>
      <c r="E47" s="12" t="inlineStr">
        <is>
          <t>การ์ดงานอนุมัติทันเวลาบนหน้าแรก (§11.5)</t>
        </is>
      </c>
      <c r="F47" s="12" t="inlineStr">
        <is>
          <t>16 ชั่วโมงทำการ (procurement.queueTargetBusinessMinutes = 960)</t>
        </is>
      </c>
      <c r="G47" s="12" t="inlineStr">
        <is>
          <t>OQ-38</t>
        </is>
      </c>
      <c r="H47" s="13"/>
      <c r="I47" s="13"/>
    </row>
    <row r="48" customFormat="false" ht="15" hidden="false" customHeight="false" outlineLevel="0" collapsed="false">
      <c r="A48" s="12" t="inlineStr">
        <is>
          <t>Q-39</t>
        </is>
      </c>
      <c r="B48" s="12" t="inlineStr">
        <is>
          <t>A</t>
        </is>
      </c>
      <c r="C48" s="12" t="inlineStr">
        <is>
          <t>CEO COO</t>
        </is>
      </c>
      <c r="D48" s="12" t="inlineStr">
        <is>
          <t>ผู้ขอเพิ่มคนที่ยังไม่เห็นคำขอเป็นผู้ติดตามได้หรือไม่ (ถ้าได้ ผู้ถูกเพิ่มจะเห็นใบเสนอราคาและไฟล์แนบของคำขอนั้น)</t>
        </is>
      </c>
      <c r="E48" s="12" t="inlineStr">
        <is>
          <t>สิทธิ์ดูคำขอและไฟล์แนบ</t>
        </is>
      </c>
      <c r="F48" s="12" t="inlineStr">
        <is>
          <t>ไม่ได้ · เพิ่มได้เฉพาะสมาชิกที่เห็นคำขออยู่แล้ว การติดตามไม่ขยายสิทธิ์ดู</t>
        </is>
      </c>
      <c r="G48" s="12" t="inlineStr">
        <is>
          <t>OQ-39</t>
        </is>
      </c>
      <c r="H48" s="13"/>
      <c r="I48" s="1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5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8" t="s">
        <v>480</v>
      </c>
      <c r="B1" s="9" t="s">
        <v>481</v>
      </c>
      <c r="C1" s="9" t="s">
        <v>482</v>
      </c>
      <c r="D1" s="8" t="s">
        <v>48</v>
      </c>
    </row>
    <row r="2" customFormat="false" ht="31.5" hidden="false" customHeight="true" outlineLevel="0" collapsed="false">
      <c r="A2" s="11" t="s">
        <v>483</v>
      </c>
      <c r="B2" s="11" t="s">
        <v>484</v>
      </c>
      <c r="C2" s="11" t="s">
        <v>485</v>
      </c>
      <c r="D2" s="11" t="s">
        <v>486</v>
      </c>
    </row>
    <row r="3" customFormat="false" ht="15" hidden="false" customHeight="false" outlineLevel="0" collapsed="false">
      <c r="A3" s="12" t="s">
        <v>487</v>
      </c>
      <c r="B3" s="12" t="s">
        <v>69</v>
      </c>
      <c r="C3" s="12" t="s">
        <v>488</v>
      </c>
      <c r="D3" s="12" t="s">
        <v>489</v>
      </c>
    </row>
    <row r="4" customFormat="false" ht="15" hidden="false" customHeight="false" outlineLevel="0" collapsed="false">
      <c r="A4" s="12" t="s">
        <v>490</v>
      </c>
      <c r="B4" s="12" t="s">
        <v>491</v>
      </c>
      <c r="C4" s="12" t="s">
        <v>492</v>
      </c>
      <c r="D4" s="12" t="s">
        <v>61</v>
      </c>
    </row>
    <row r="5" customFormat="false" ht="15" hidden="false" customHeight="false" outlineLevel="0" collapsed="false">
      <c r="A5" s="12" t="s">
        <v>493</v>
      </c>
      <c r="B5" s="12" t="s">
        <v>494</v>
      </c>
      <c r="C5" s="12" t="s">
        <v>495</v>
      </c>
      <c r="D5" s="12" t="s">
        <v>61</v>
      </c>
    </row>
    <row r="6" customFormat="false" ht="15" hidden="false" customHeight="false" outlineLevel="0" collapsed="false">
      <c r="A6" s="12" t="s">
        <v>496</v>
      </c>
      <c r="B6" s="12" t="s">
        <v>69</v>
      </c>
      <c r="C6" s="12" t="s">
        <v>497</v>
      </c>
      <c r="D6" s="12" t="s">
        <v>61</v>
      </c>
    </row>
    <row r="7" customFormat="false" ht="15" hidden="false" customHeight="false" outlineLevel="0" collapsed="false">
      <c r="A7" s="12" t="s">
        <v>498</v>
      </c>
      <c r="B7" s="12" t="s">
        <v>499</v>
      </c>
      <c r="C7" s="12" t="s">
        <v>500</v>
      </c>
      <c r="D7" s="12" t="s">
        <v>501</v>
      </c>
    </row>
    <row r="8" customFormat="false" ht="15" hidden="false" customHeight="false" outlineLevel="0" collapsed="false">
      <c r="A8" s="12" t="s">
        <v>502</v>
      </c>
      <c r="B8" s="12" t="s">
        <v>503</v>
      </c>
      <c r="C8" s="12" t="s">
        <v>504</v>
      </c>
      <c r="D8" s="12" t="s">
        <v>61</v>
      </c>
    </row>
    <row r="9" customFormat="false" ht="23.85" hidden="false" customHeight="false" outlineLevel="0" collapsed="false">
      <c r="A9" s="12" t="s">
        <v>505</v>
      </c>
      <c r="B9" s="12" t="s">
        <v>506</v>
      </c>
      <c r="C9" s="12" t="s">
        <v>507</v>
      </c>
      <c r="D9" s="12" t="s">
        <v>61</v>
      </c>
    </row>
    <row r="10" customFormat="false" ht="15" hidden="false" customHeight="false" outlineLevel="0" collapsed="false">
      <c r="A10" s="12" t="s">
        <v>508</v>
      </c>
      <c r="B10" s="12"/>
      <c r="C10" s="12" t="s">
        <v>509</v>
      </c>
      <c r="D10" s="12" t="s">
        <v>61</v>
      </c>
    </row>
    <row r="11" customFormat="false" ht="15" hidden="false" customHeight="false" outlineLevel="0" collapsed="false">
      <c r="A11" s="12" t="s">
        <v>510</v>
      </c>
      <c r="B11" s="12" t="s">
        <v>511</v>
      </c>
      <c r="C11" s="12" t="s">
        <v>512</v>
      </c>
      <c r="D11" s="12" t="s">
        <v>513</v>
      </c>
    </row>
    <row r="12" customFormat="false" ht="15" hidden="false" customHeight="false" outlineLevel="0" collapsed="false">
      <c r="A12" s="12" t="s">
        <v>514</v>
      </c>
      <c r="B12" s="12" t="n">
        <v>1</v>
      </c>
      <c r="C12" s="12" t="s">
        <v>515</v>
      </c>
      <c r="D12" s="12" t="s">
        <v>115</v>
      </c>
    </row>
    <row r="13" customFormat="false" ht="15" hidden="false" customHeight="false" outlineLevel="0" collapsed="false">
      <c r="A13" s="12" t="s">
        <v>516</v>
      </c>
      <c r="B13" s="12" t="s">
        <v>517</v>
      </c>
      <c r="C13" s="12" t="s">
        <v>518</v>
      </c>
      <c r="D13" s="12" t="s">
        <v>95</v>
      </c>
    </row>
    <row r="14" customFormat="false" ht="15" hidden="false" customHeight="false" outlineLevel="0" collapsed="false">
      <c r="A14" s="12" t="s">
        <v>519</v>
      </c>
      <c r="B14" s="12" t="s">
        <v>520</v>
      </c>
      <c r="C14" s="12" t="s">
        <v>521</v>
      </c>
      <c r="D14" s="12" t="s">
        <v>522</v>
      </c>
    </row>
    <row r="15" customFormat="false" ht="15" hidden="false" customHeight="false" outlineLevel="0" collapsed="false">
      <c r="A15" s="12" t="s">
        <v>523</v>
      </c>
      <c r="B15" s="12" t="s">
        <v>524</v>
      </c>
      <c r="C15" s="12" t="s">
        <v>525</v>
      </c>
      <c r="D15" s="12" t="s">
        <v>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9" t="s">
        <v>487</v>
      </c>
      <c r="B1" s="9" t="s">
        <v>527</v>
      </c>
      <c r="C1" s="9" t="s">
        <v>528</v>
      </c>
      <c r="D1" s="9" t="s">
        <v>529</v>
      </c>
    </row>
    <row r="2" customFormat="false" ht="31.5" hidden="false" customHeight="true" outlineLevel="0" collapsed="false">
      <c r="A2" s="11" t="s">
        <v>530</v>
      </c>
      <c r="B2" s="11" t="s">
        <v>531</v>
      </c>
      <c r="C2" s="11" t="s">
        <v>532</v>
      </c>
      <c r="D2" s="11" t="s">
        <v>533</v>
      </c>
    </row>
    <row r="3" customFormat="false" ht="15" hidden="false" customHeight="false" outlineLevel="0" collapsed="false">
      <c r="A3" s="12" t="s">
        <v>534</v>
      </c>
      <c r="B3" s="12" t="s">
        <v>535</v>
      </c>
      <c r="C3" s="12"/>
      <c r="D3" s="12" t="s">
        <v>536</v>
      </c>
    </row>
    <row r="4" customFormat="false" ht="15" hidden="false" customHeight="false" outlineLevel="0" collapsed="false">
      <c r="A4" s="12" t="s">
        <v>537</v>
      </c>
      <c r="B4" s="12" t="s">
        <v>538</v>
      </c>
      <c r="C4" s="12" t="s">
        <v>534</v>
      </c>
      <c r="D4" s="12" t="s">
        <v>539</v>
      </c>
    </row>
    <row r="5" customFormat="false" ht="15" hidden="false" customHeight="false" outlineLevel="0" collapsed="false">
      <c r="A5" s="12" t="s">
        <v>540</v>
      </c>
      <c r="B5" s="12" t="s">
        <v>541</v>
      </c>
      <c r="C5" s="12" t="s">
        <v>537</v>
      </c>
      <c r="D5" s="12" t="s">
        <v>542</v>
      </c>
    </row>
    <row r="6" customFormat="false" ht="15" hidden="false" customHeight="false" outlineLevel="0" collapsed="false">
      <c r="A6" s="12" t="s">
        <v>543</v>
      </c>
      <c r="B6" s="12" t="s">
        <v>544</v>
      </c>
      <c r="C6" s="12" t="s">
        <v>537</v>
      </c>
      <c r="D6" s="12" t="s">
        <v>542</v>
      </c>
    </row>
    <row r="7" customFormat="false" ht="15" hidden="false" customHeight="false" outlineLevel="0" collapsed="false">
      <c r="A7" s="12" t="s">
        <v>545</v>
      </c>
      <c r="B7" s="12" t="s">
        <v>546</v>
      </c>
      <c r="C7" s="12" t="s">
        <v>534</v>
      </c>
      <c r="D7" s="12" t="s">
        <v>539</v>
      </c>
    </row>
    <row r="8" customFormat="false" ht="15" hidden="false" customHeight="false" outlineLevel="0" collapsed="false">
      <c r="A8" s="12" t="s">
        <v>547</v>
      </c>
      <c r="B8" s="12" t="s">
        <v>548</v>
      </c>
      <c r="C8" s="12" t="s">
        <v>545</v>
      </c>
      <c r="D8" s="12" t="s">
        <v>542</v>
      </c>
    </row>
    <row r="9" customFormat="false" ht="15" hidden="false" customHeight="false" outlineLevel="0" collapsed="false">
      <c r="A9" s="12" t="s">
        <v>174</v>
      </c>
      <c r="B9" s="12" t="s">
        <v>549</v>
      </c>
      <c r="C9" s="12" t="s">
        <v>545</v>
      </c>
      <c r="D9" s="12" t="s">
        <v>542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18"/>
  </cols>
  <sheetData>
    <row r="1" customFormat="false" ht="15" hidden="false" customHeight="false" outlineLevel="0" collapsed="false">
      <c r="A1" s="9" t="s">
        <v>487</v>
      </c>
      <c r="B1" s="9" t="s">
        <v>527</v>
      </c>
      <c r="C1" s="9" t="s">
        <v>550</v>
      </c>
    </row>
    <row r="2" customFormat="false" ht="31.5" hidden="false" customHeight="true" outlineLevel="0" collapsed="false">
      <c r="A2" s="11" t="s">
        <v>551</v>
      </c>
      <c r="B2" s="11" t="s">
        <v>552</v>
      </c>
      <c r="C2" s="11" t="s">
        <v>553</v>
      </c>
    </row>
    <row r="3" customFormat="false" ht="15" hidden="false" customHeight="false" outlineLevel="0" collapsed="false">
      <c r="A3" s="12" t="s">
        <v>554</v>
      </c>
      <c r="B3" s="12" t="s">
        <v>555</v>
      </c>
      <c r="C3" s="12" t="s">
        <v>542</v>
      </c>
    </row>
    <row r="4" customFormat="false" ht="15" hidden="false" customHeight="false" outlineLevel="0" collapsed="false">
      <c r="A4" s="12" t="s">
        <v>556</v>
      </c>
      <c r="B4" s="12" t="s">
        <v>557</v>
      </c>
      <c r="C4" s="12" t="s">
        <v>542</v>
      </c>
    </row>
    <row r="5" customFormat="false" ht="15" hidden="false" customHeight="false" outlineLevel="0" collapsed="false">
      <c r="A5" s="12" t="s">
        <v>558</v>
      </c>
      <c r="B5" s="12" t="s">
        <v>559</v>
      </c>
      <c r="C5" s="12" t="s">
        <v>560</v>
      </c>
    </row>
    <row r="6" customFormat="false" ht="15" hidden="false" customHeight="false" outlineLevel="0" collapsed="false">
      <c r="A6" s="12" t="s">
        <v>561</v>
      </c>
      <c r="B6" s="12" t="s">
        <v>562</v>
      </c>
      <c r="C6" s="12" t="s">
        <v>560</v>
      </c>
    </row>
    <row r="7" customFormat="false" ht="15" hidden="false" customHeight="false" outlineLevel="0" collapsed="false">
      <c r="A7" s="12" t="s">
        <v>563</v>
      </c>
      <c r="B7" s="12" t="s">
        <v>564</v>
      </c>
      <c r="C7" s="12" t="s">
        <v>560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4"/>
    <col collapsed="false" customWidth="true" hidden="false" outlineLevel="0" max="3" min="3" style="0" width="30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24"/>
    <col collapsed="false" customWidth="true" hidden="false" outlineLevel="0" max="7" min="7" style="0" width="30"/>
  </cols>
  <sheetData>
    <row r="1" customFormat="false" ht="23.85" hidden="false" customHeight="false" outlineLevel="0" collapsed="false">
      <c r="A1" s="9" t="s">
        <v>487</v>
      </c>
      <c r="B1" s="9" t="s">
        <v>565</v>
      </c>
      <c r="C1" s="9" t="s">
        <v>566</v>
      </c>
      <c r="D1" s="9" t="s">
        <v>567</v>
      </c>
      <c r="E1" s="9" t="s">
        <v>568</v>
      </c>
      <c r="F1" s="9" t="s">
        <v>569</v>
      </c>
      <c r="G1" s="14" t="s">
        <v>570</v>
      </c>
    </row>
    <row r="2" customFormat="false" ht="31.5" hidden="false" customHeight="true" outlineLevel="0" collapsed="false">
      <c r="A2" s="11" t="s">
        <v>571</v>
      </c>
      <c r="B2" s="11" t="s">
        <v>572</v>
      </c>
      <c r="C2" s="11" t="s">
        <v>573</v>
      </c>
      <c r="D2" s="11" t="s">
        <v>574</v>
      </c>
      <c r="E2" s="11" t="s">
        <v>575</v>
      </c>
      <c r="F2" s="11" t="s">
        <v>576</v>
      </c>
      <c r="G2" s="11" t="s">
        <v>577</v>
      </c>
    </row>
    <row r="3" customFormat="false" ht="15" hidden="false" customHeight="false" outlineLevel="0" collapsed="false">
      <c r="A3" s="12" t="s">
        <v>578</v>
      </c>
      <c r="B3" s="12" t="s">
        <v>579</v>
      </c>
      <c r="C3" s="12" t="s">
        <v>580</v>
      </c>
      <c r="D3" s="12" t="s">
        <v>540</v>
      </c>
      <c r="E3" s="12"/>
      <c r="F3" s="12"/>
      <c r="G3" s="12"/>
    </row>
    <row r="4" customFormat="false" ht="15" hidden="false" customHeight="false" outlineLevel="0" collapsed="false">
      <c r="A4" s="12" t="s">
        <v>581</v>
      </c>
      <c r="B4" s="12" t="s">
        <v>582</v>
      </c>
      <c r="C4" s="12" t="s">
        <v>583</v>
      </c>
      <c r="D4" s="12" t="s">
        <v>540</v>
      </c>
      <c r="E4" s="12"/>
      <c r="F4" s="12"/>
      <c r="G4" s="12" t="s">
        <v>584</v>
      </c>
    </row>
    <row r="5" customFormat="false" ht="15" hidden="false" customHeight="false" outlineLevel="0" collapsed="false">
      <c r="A5" s="12" t="s">
        <v>585</v>
      </c>
      <c r="B5" s="12" t="s">
        <v>586</v>
      </c>
      <c r="C5" s="12" t="s">
        <v>587</v>
      </c>
      <c r="D5" s="12" t="s">
        <v>540</v>
      </c>
      <c r="E5" s="12"/>
      <c r="F5" s="12"/>
      <c r="G5" s="12" t="s">
        <v>588</v>
      </c>
    </row>
    <row r="6" customFormat="false" ht="15" hidden="false" customHeight="false" outlineLevel="0" collapsed="false">
      <c r="A6" s="12" t="s">
        <v>589</v>
      </c>
      <c r="B6" s="12" t="s">
        <v>590</v>
      </c>
      <c r="C6" s="12" t="s">
        <v>591</v>
      </c>
      <c r="D6" s="12" t="s">
        <v>540</v>
      </c>
      <c r="E6" s="12" t="s">
        <v>592</v>
      </c>
      <c r="F6" s="12"/>
      <c r="G6" s="12"/>
    </row>
    <row r="7" customFormat="false" ht="15" hidden="false" customHeight="false" outlineLevel="0" collapsed="false">
      <c r="A7" s="12" t="s">
        <v>593</v>
      </c>
      <c r="B7" s="12" t="s">
        <v>594</v>
      </c>
      <c r="C7" s="12" t="s">
        <v>595</v>
      </c>
      <c r="D7" s="12" t="s">
        <v>540</v>
      </c>
      <c r="E7" s="12"/>
      <c r="F7" s="12" t="s">
        <v>596</v>
      </c>
      <c r="G7" s="12"/>
    </row>
    <row r="8" customFormat="false" ht="15" hidden="false" customHeight="false" outlineLevel="0" collapsed="false">
      <c r="A8" s="12" t="s">
        <v>597</v>
      </c>
      <c r="B8" s="12" t="s">
        <v>598</v>
      </c>
      <c r="C8" s="12" t="s">
        <v>599</v>
      </c>
      <c r="D8" s="12" t="s">
        <v>543</v>
      </c>
      <c r="E8" s="12" t="s">
        <v>600</v>
      </c>
      <c r="F8" s="12"/>
      <c r="G8" s="12"/>
    </row>
    <row r="9" customFormat="false" ht="23.85" hidden="false" customHeight="false" outlineLevel="0" collapsed="false">
      <c r="A9" s="12" t="s">
        <v>601</v>
      </c>
      <c r="B9" s="12" t="s">
        <v>602</v>
      </c>
      <c r="C9" s="12" t="s">
        <v>603</v>
      </c>
      <c r="D9" s="12" t="s">
        <v>543</v>
      </c>
      <c r="E9" s="12" t="s">
        <v>600</v>
      </c>
      <c r="F9" s="12" t="s">
        <v>604</v>
      </c>
      <c r="G9" s="12"/>
    </row>
    <row r="10" customFormat="false" ht="15" hidden="false" customHeight="false" outlineLevel="0" collapsed="false">
      <c r="A10" s="12" t="s">
        <v>605</v>
      </c>
      <c r="B10" s="12" t="s">
        <v>606</v>
      </c>
      <c r="C10" s="12" t="s">
        <v>607</v>
      </c>
      <c r="D10" s="12" t="s">
        <v>547</v>
      </c>
      <c r="E10" s="12" t="s">
        <v>608</v>
      </c>
      <c r="F10" s="12"/>
      <c r="G10" s="12"/>
    </row>
    <row r="11" customFormat="false" ht="15" hidden="false" customHeight="false" outlineLevel="0" collapsed="false">
      <c r="A11" s="12" t="s">
        <v>609</v>
      </c>
      <c r="B11" s="12" t="s">
        <v>610</v>
      </c>
      <c r="C11" s="12" t="s">
        <v>611</v>
      </c>
      <c r="D11" s="12" t="s">
        <v>547</v>
      </c>
      <c r="E11" s="12" t="s">
        <v>612</v>
      </c>
      <c r="F11" s="12" t="s">
        <v>613</v>
      </c>
      <c r="G11" s="12"/>
    </row>
    <row r="12" customFormat="false" ht="15" hidden="false" customHeight="false" outlineLevel="0" collapsed="false">
      <c r="A12" s="12" t="s">
        <v>614</v>
      </c>
      <c r="B12" s="12" t="s">
        <v>615</v>
      </c>
      <c r="C12" s="12" t="s">
        <v>616</v>
      </c>
      <c r="D12" s="12" t="s">
        <v>547</v>
      </c>
      <c r="E12" s="12" t="s">
        <v>617</v>
      </c>
      <c r="F12" s="12"/>
      <c r="G12" s="12"/>
    </row>
    <row r="13" customFormat="false" ht="15" hidden="false" customHeight="false" outlineLevel="0" collapsed="false">
      <c r="A13" s="12" t="s">
        <v>618</v>
      </c>
      <c r="B13" s="12" t="s">
        <v>619</v>
      </c>
      <c r="C13" s="12" t="s">
        <v>620</v>
      </c>
      <c r="D13" s="12" t="s">
        <v>174</v>
      </c>
      <c r="E13" s="12"/>
      <c r="F13" s="12"/>
      <c r="G13" s="12" t="s">
        <v>621</v>
      </c>
    </row>
    <row r="14" customFormat="false" ht="15" hidden="false" customHeight="false" outlineLevel="0" collapsed="false">
      <c r="A14" s="12" t="s">
        <v>622</v>
      </c>
      <c r="B14" s="12" t="s">
        <v>623</v>
      </c>
      <c r="C14" s="12" t="s">
        <v>624</v>
      </c>
      <c r="D14" s="12" t="s">
        <v>174</v>
      </c>
      <c r="E14" s="12"/>
      <c r="F14" s="12" t="s">
        <v>625</v>
      </c>
      <c r="G14" s="12"/>
    </row>
    <row r="15" customFormat="false" ht="15" hidden="false" customHeight="false" outlineLevel="0" collapsed="false">
      <c r="A15" s="12" t="s">
        <v>626</v>
      </c>
      <c r="B15" s="12" t="s">
        <v>627</v>
      </c>
      <c r="C15" s="12" t="s">
        <v>628</v>
      </c>
      <c r="D15" s="12" t="s">
        <v>174</v>
      </c>
      <c r="E15" s="12" t="s">
        <v>629</v>
      </c>
      <c r="F15" s="12"/>
      <c r="G15" s="12"/>
    </row>
    <row r="16" customFormat="false" ht="15" hidden="false" customHeight="false" outlineLevel="0" collapsed="false">
      <c r="A16" s="12" t="s">
        <v>630</v>
      </c>
      <c r="B16" s="12" t="s">
        <v>631</v>
      </c>
      <c r="C16" s="12" t="s">
        <v>632</v>
      </c>
      <c r="D16" s="12" t="s">
        <v>547</v>
      </c>
      <c r="E16" s="12" t="s">
        <v>629</v>
      </c>
      <c r="F16" s="12"/>
      <c r="G16" s="12"/>
    </row>
    <row r="17" customFormat="false" ht="15" hidden="false" customHeight="false" outlineLevel="0" collapsed="false">
      <c r="A17" s="12" t="s">
        <v>633</v>
      </c>
      <c r="B17" s="12" t="s">
        <v>634</v>
      </c>
      <c r="C17" s="12" t="s">
        <v>635</v>
      </c>
      <c r="D17" s="12" t="s">
        <v>537</v>
      </c>
      <c r="E17" s="12"/>
      <c r="F17" s="12" t="s">
        <v>636</v>
      </c>
      <c r="G17" s="12"/>
    </row>
    <row r="18" customFormat="false" ht="15" hidden="false" customHeight="false" outlineLevel="0" collapsed="false">
      <c r="A18" s="12" t="s">
        <v>637</v>
      </c>
      <c r="B18" s="12" t="s">
        <v>638</v>
      </c>
      <c r="C18" s="12" t="s">
        <v>639</v>
      </c>
      <c r="D18" s="12" t="s">
        <v>545</v>
      </c>
      <c r="E18" s="12"/>
      <c r="F18" s="12" t="s">
        <v>640</v>
      </c>
      <c r="G18" s="12"/>
    </row>
    <row r="19" customFormat="false" ht="15" hidden="false" customHeight="false" outlineLevel="0" collapsed="false">
      <c r="A19" s="12" t="s">
        <v>641</v>
      </c>
      <c r="B19" s="12" t="s">
        <v>642</v>
      </c>
      <c r="C19" s="12" t="s">
        <v>643</v>
      </c>
      <c r="D19" s="12" t="s">
        <v>534</v>
      </c>
      <c r="E19" s="12" t="s">
        <v>644</v>
      </c>
      <c r="F19" s="12" t="s">
        <v>645</v>
      </c>
      <c r="G19" s="12"/>
    </row>
    <row r="20" customFormat="false" ht="15" hidden="false" customHeight="false" outlineLevel="0" collapsed="false">
      <c r="A20" s="12" t="s">
        <v>517</v>
      </c>
      <c r="B20" s="12" t="s">
        <v>646</v>
      </c>
      <c r="C20" s="12" t="s">
        <v>647</v>
      </c>
      <c r="D20" s="12" t="s">
        <v>534</v>
      </c>
      <c r="E20" s="12" t="s">
        <v>644</v>
      </c>
      <c r="F20" s="12" t="s">
        <v>648</v>
      </c>
      <c r="G2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5" min="4" style="0" width="14"/>
    <col collapsed="false" customWidth="true" hidden="false" outlineLevel="0" max="6" min="6" style="0" width="2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46"/>
  </cols>
  <sheetData>
    <row r="1" customFormat="false" ht="23.85" hidden="false" customHeight="false" outlineLevel="0" collapsed="false">
      <c r="A1" s="9" t="s">
        <v>649</v>
      </c>
      <c r="B1" s="9" t="s">
        <v>650</v>
      </c>
      <c r="C1" s="9" t="s">
        <v>651</v>
      </c>
      <c r="D1" s="9" t="s">
        <v>652</v>
      </c>
      <c r="E1" s="9" t="s">
        <v>653</v>
      </c>
      <c r="F1" s="9" t="s">
        <v>654</v>
      </c>
      <c r="G1" s="9" t="s">
        <v>655</v>
      </c>
      <c r="H1" s="9" t="s">
        <v>656</v>
      </c>
      <c r="I1" s="8" t="s">
        <v>657</v>
      </c>
      <c r="J1" s="9" t="s">
        <v>658</v>
      </c>
    </row>
    <row r="2" customFormat="false" ht="31.5" hidden="false" customHeight="true" outlineLevel="0" collapsed="false">
      <c r="A2" s="11" t="s">
        <v>659</v>
      </c>
      <c r="B2" s="11" t="s">
        <v>660</v>
      </c>
      <c r="C2" s="11" t="s">
        <v>661</v>
      </c>
      <c r="D2" s="11" t="s">
        <v>662</v>
      </c>
      <c r="E2" s="11" t="s">
        <v>663</v>
      </c>
      <c r="F2" s="11" t="s">
        <v>664</v>
      </c>
      <c r="G2" s="11" t="s">
        <v>665</v>
      </c>
      <c r="H2" s="11" t="s">
        <v>666</v>
      </c>
      <c r="I2" s="11" t="s">
        <v>667</v>
      </c>
      <c r="J2" s="11" t="s">
        <v>668</v>
      </c>
    </row>
    <row r="3" customFormat="false" ht="23.85" hidden="false" customHeight="false" outlineLevel="0" collapsed="false">
      <c r="A3" s="12" t="n">
        <v>1</v>
      </c>
      <c r="B3" s="12" t="s">
        <v>669</v>
      </c>
      <c r="C3" s="12" t="s">
        <v>670</v>
      </c>
      <c r="D3" s="15" t="n">
        <v>0</v>
      </c>
      <c r="E3" s="15" t="n">
        <v>20000</v>
      </c>
      <c r="F3" s="12" t="s">
        <v>671</v>
      </c>
      <c r="G3" s="12" t="s">
        <v>554</v>
      </c>
      <c r="H3" s="12"/>
      <c r="I3" s="12" t="n">
        <v>8</v>
      </c>
      <c r="J3" s="12" t="s">
        <v>672</v>
      </c>
    </row>
    <row r="4" customFormat="false" ht="23.85" hidden="false" customHeight="false" outlineLevel="0" collapsed="false">
      <c r="A4" s="12" t="n">
        <v>1</v>
      </c>
      <c r="B4" s="12" t="s">
        <v>673</v>
      </c>
      <c r="C4" s="12" t="s">
        <v>670</v>
      </c>
      <c r="D4" s="15" t="n">
        <v>20000</v>
      </c>
      <c r="E4" s="15" t="n">
        <v>100000</v>
      </c>
      <c r="F4" s="12" t="s">
        <v>671</v>
      </c>
      <c r="G4" s="12" t="s">
        <v>556</v>
      </c>
      <c r="H4" s="12"/>
      <c r="I4" s="12" t="n">
        <v>8</v>
      </c>
      <c r="J4" s="12" t="s">
        <v>674</v>
      </c>
    </row>
    <row r="5" customFormat="false" ht="15" hidden="false" customHeight="false" outlineLevel="0" collapsed="false">
      <c r="A5" s="12" t="n">
        <v>1</v>
      </c>
      <c r="B5" s="12" t="s">
        <v>675</v>
      </c>
      <c r="C5" s="12" t="s">
        <v>670</v>
      </c>
      <c r="D5" s="15" t="n">
        <v>100000</v>
      </c>
      <c r="E5" s="15"/>
      <c r="F5" s="12" t="s">
        <v>676</v>
      </c>
      <c r="G5" s="12" t="s">
        <v>561</v>
      </c>
      <c r="H5" s="12"/>
      <c r="I5" s="12" t="n">
        <v>16</v>
      </c>
      <c r="J5" s="12" t="s">
        <v>677</v>
      </c>
    </row>
    <row r="6" customFormat="false" ht="15" hidden="false" customHeight="false" outlineLevel="0" collapsed="false">
      <c r="A6" s="12" t="n">
        <v>1</v>
      </c>
      <c r="B6" s="12" t="s">
        <v>678</v>
      </c>
      <c r="C6" s="12" t="s">
        <v>679</v>
      </c>
      <c r="D6" s="15" t="n">
        <v>0</v>
      </c>
      <c r="E6" s="15" t="n">
        <v>1000000</v>
      </c>
      <c r="F6" s="12" t="s">
        <v>676</v>
      </c>
      <c r="G6" s="12" t="s">
        <v>558</v>
      </c>
      <c r="H6" s="12"/>
      <c r="I6" s="12" t="n">
        <v>8</v>
      </c>
      <c r="J6" s="12" t="s">
        <v>680</v>
      </c>
    </row>
    <row r="7" customFormat="false" ht="15" hidden="false" customHeight="false" outlineLevel="0" collapsed="false">
      <c r="A7" s="12" t="n">
        <v>1</v>
      </c>
      <c r="B7" s="12" t="s">
        <v>681</v>
      </c>
      <c r="C7" s="12" t="s">
        <v>679</v>
      </c>
      <c r="D7" s="15" t="n">
        <v>1000000</v>
      </c>
      <c r="E7" s="15"/>
      <c r="F7" s="12" t="s">
        <v>676</v>
      </c>
      <c r="G7" s="12" t="s">
        <v>561</v>
      </c>
      <c r="H7" s="12"/>
      <c r="I7" s="12" t="n">
        <v>16</v>
      </c>
      <c r="J7" s="12" t="s">
        <v>682</v>
      </c>
    </row>
    <row r="8" customFormat="false" ht="23.85" hidden="false" customHeight="false" outlineLevel="0" collapsed="false">
      <c r="A8" s="12" t="n">
        <v>1</v>
      </c>
      <c r="B8" s="12" t="s">
        <v>683</v>
      </c>
      <c r="C8" s="12" t="s">
        <v>684</v>
      </c>
      <c r="D8" s="15"/>
      <c r="E8" s="15"/>
      <c r="F8" s="12" t="s">
        <v>671</v>
      </c>
      <c r="G8" s="12" t="s">
        <v>554</v>
      </c>
      <c r="H8" s="12"/>
      <c r="I8" s="12" t="n">
        <v>8</v>
      </c>
      <c r="J8" s="12" t="s">
        <v>685</v>
      </c>
    </row>
    <row r="9" customFormat="false" ht="23.85" hidden="false" customHeight="false" outlineLevel="0" collapsed="false">
      <c r="A9" s="12" t="n">
        <v>1</v>
      </c>
      <c r="B9" s="12" t="s">
        <v>686</v>
      </c>
      <c r="C9" s="12" t="s">
        <v>687</v>
      </c>
      <c r="D9" s="15"/>
      <c r="E9" s="15"/>
      <c r="F9" s="12" t="s">
        <v>676</v>
      </c>
      <c r="G9" s="12" t="s">
        <v>561</v>
      </c>
      <c r="H9" s="12"/>
      <c r="I9" s="12" t="n">
        <v>16</v>
      </c>
      <c r="J9" s="12" t="s">
        <v>688</v>
      </c>
    </row>
    <row r="10" customFormat="false" ht="23.85" hidden="false" customHeight="false" outlineLevel="0" collapsed="false">
      <c r="A10" s="12" t="n">
        <v>1</v>
      </c>
      <c r="B10" s="12" t="s">
        <v>689</v>
      </c>
      <c r="C10" s="12" t="s">
        <v>690</v>
      </c>
      <c r="D10" s="15"/>
      <c r="E10" s="15"/>
      <c r="F10" s="12" t="s">
        <v>676</v>
      </c>
      <c r="G10" s="12" t="s">
        <v>561</v>
      </c>
      <c r="H10" s="12"/>
      <c r="I10" s="12" t="n">
        <v>16</v>
      </c>
      <c r="J10" s="12" t="s">
        <v>691</v>
      </c>
    </row>
  </sheetData>
  <dataValidations count="2">
    <dataValidation allowBlank="true" errorStyle="stop" operator="between" showDropDown="false" showErrorMessage="false" showInputMessage="false" sqref="C3:C200" type="list">
      <formula1>"PURCHASE_REQUEST,PURCHASE_ORDER,GR_VARIANCE,DOA_CHANGE,ORG_AUTHORITY_CHANGE"</formula1>
      <formula2>0</formula2>
    </dataValidation>
    <dataValidation allowBlank="true" errorStyle="stop" operator="between" showDropDown="false" showErrorMessage="false" showInputMessage="false" sqref="F3:F200" type="list">
      <formula1>"POSITION_OF_DEPARTMENT,POSITION_OF_ORG,MEMBER"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4"/>
    <col collapsed="false" customWidth="true" hidden="false" outlineLevel="0" max="3" min="3" style="0" width="56"/>
    <col collapsed="false" customWidth="true" hidden="false" outlineLevel="0" max="4" min="4" style="0" width="14"/>
  </cols>
  <sheetData>
    <row r="1" customFormat="false" ht="15" hidden="false" customHeight="false" outlineLevel="0" collapsed="false">
      <c r="A1" s="8" t="s">
        <v>480</v>
      </c>
      <c r="B1" s="9" t="s">
        <v>481</v>
      </c>
      <c r="C1" s="9" t="s">
        <v>482</v>
      </c>
      <c r="D1" s="8" t="s">
        <v>48</v>
      </c>
    </row>
    <row r="2" customFormat="false" ht="31.5" hidden="false" customHeight="true" outlineLevel="0" collapsed="false">
      <c r="A2" s="11" t="s">
        <v>483</v>
      </c>
      <c r="B2" s="11" t="s">
        <v>484</v>
      </c>
      <c r="C2" s="11" t="s">
        <v>485</v>
      </c>
      <c r="D2" s="11" t="s">
        <v>486</v>
      </c>
    </row>
    <row r="3" customFormat="false" ht="15" hidden="false" customHeight="false" outlineLevel="0" collapsed="false">
      <c r="A3" s="12" t="s">
        <v>487</v>
      </c>
      <c r="B3" s="12" t="s">
        <v>692</v>
      </c>
      <c r="C3" s="12" t="s">
        <v>693</v>
      </c>
      <c r="D3" s="12" t="s">
        <v>694</v>
      </c>
    </row>
    <row r="4" customFormat="false" ht="15" hidden="false" customHeight="false" outlineLevel="0" collapsed="false">
      <c r="A4" s="12" t="s">
        <v>649</v>
      </c>
      <c r="B4" s="12" t="n">
        <v>1</v>
      </c>
      <c r="C4" s="12" t="s">
        <v>695</v>
      </c>
      <c r="D4" s="12" t="s">
        <v>694</v>
      </c>
    </row>
    <row r="5" customFormat="false" ht="15" hidden="false" customHeight="false" outlineLevel="0" collapsed="false">
      <c r="A5" s="12" t="s">
        <v>696</v>
      </c>
      <c r="B5" s="16" t="n">
        <v>46023</v>
      </c>
      <c r="C5" s="12" t="s">
        <v>697</v>
      </c>
      <c r="D5" s="12" t="s">
        <v>698</v>
      </c>
    </row>
    <row r="6" customFormat="false" ht="15" hidden="false" customHeight="false" outlineLevel="0" collapsed="false">
      <c r="A6" s="12" t="s">
        <v>699</v>
      </c>
      <c r="B6" s="12" t="s">
        <v>700</v>
      </c>
      <c r="C6" s="12" t="s">
        <v>701</v>
      </c>
      <c r="D6" s="12" t="s">
        <v>255</v>
      </c>
    </row>
    <row r="7" customFormat="false" ht="15" hidden="false" customHeight="false" outlineLevel="0" collapsed="false">
      <c r="A7" s="12" t="s">
        <v>702</v>
      </c>
      <c r="B7" s="12" t="s">
        <v>703</v>
      </c>
      <c r="C7" s="12" t="s">
        <v>704</v>
      </c>
      <c r="D7" s="12" t="s">
        <v>261</v>
      </c>
    </row>
    <row r="8" customFormat="false" ht="15" hidden="false" customHeight="false" outlineLevel="0" collapsed="false">
      <c r="A8" s="12" t="s">
        <v>705</v>
      </c>
      <c r="B8" s="12" t="s">
        <v>706</v>
      </c>
      <c r="C8" s="12" t="s">
        <v>707</v>
      </c>
      <c r="D8" s="12" t="s">
        <v>708</v>
      </c>
    </row>
    <row r="9" customFormat="false" ht="15" hidden="false" customHeight="false" outlineLevel="0" collapsed="false">
      <c r="A9" s="12" t="s">
        <v>709</v>
      </c>
      <c r="B9" s="15" t="n">
        <v>100000</v>
      </c>
      <c r="C9" s="12" t="s">
        <v>710</v>
      </c>
      <c r="D9" s="12" t="s">
        <v>267</v>
      </c>
    </row>
    <row r="10" customFormat="false" ht="15" hidden="false" customHeight="false" outlineLevel="0" collapsed="false">
      <c r="A10" s="12" t="s">
        <v>711</v>
      </c>
      <c r="B10" s="12" t="s">
        <v>712</v>
      </c>
      <c r="C10" s="12" t="s">
        <v>713</v>
      </c>
      <c r="D10" s="12" t="s">
        <v>714</v>
      </c>
    </row>
    <row r="11" customFormat="false" ht="15" hidden="false" customHeight="false" outlineLevel="0" collapsed="false">
      <c r="A11" s="12" t="s">
        <v>715</v>
      </c>
      <c r="B11" s="12" t="s">
        <v>706</v>
      </c>
      <c r="C11" s="12" t="s">
        <v>716</v>
      </c>
      <c r="D11" s="12" t="s">
        <v>393</v>
      </c>
    </row>
    <row r="12" customFormat="false" ht="15" hidden="false" customHeight="false" outlineLevel="0" collapsed="false">
      <c r="A12" s="12" t="s">
        <v>717</v>
      </c>
      <c r="B12" s="17" t="n">
        <v>0.5</v>
      </c>
      <c r="C12" s="12" t="s">
        <v>718</v>
      </c>
      <c r="D12" s="12" t="s">
        <v>719</v>
      </c>
    </row>
    <row r="13" customFormat="false" ht="15" hidden="false" customHeight="false" outlineLevel="0" collapsed="false">
      <c r="A13" s="12" t="s">
        <v>720</v>
      </c>
      <c r="B13" s="12" t="n">
        <v>8</v>
      </c>
      <c r="C13" s="12" t="s">
        <v>721</v>
      </c>
      <c r="D13" s="12" t="s">
        <v>719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K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38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8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30"/>
  </cols>
  <sheetData>
    <row r="1" customFormat="false" ht="23.85" hidden="false" customHeight="false" outlineLevel="0" collapsed="false">
      <c r="A1" s="9" t="s">
        <v>722</v>
      </c>
      <c r="B1" s="9" t="s">
        <v>487</v>
      </c>
      <c r="C1" s="9" t="s">
        <v>527</v>
      </c>
      <c r="D1" s="9" t="s">
        <v>567</v>
      </c>
      <c r="E1" s="9" t="s">
        <v>723</v>
      </c>
      <c r="F1" s="9" t="s">
        <v>724</v>
      </c>
      <c r="G1" s="9" t="s">
        <v>725</v>
      </c>
      <c r="H1" s="14" t="s">
        <v>726</v>
      </c>
      <c r="I1" s="14" t="s">
        <v>727</v>
      </c>
      <c r="J1" s="14" t="s">
        <v>728</v>
      </c>
      <c r="K1" s="14" t="s">
        <v>570</v>
      </c>
    </row>
    <row r="2" customFormat="false" ht="31.5" hidden="false" customHeight="true" outlineLevel="0" collapsed="false">
      <c r="A2" s="11" t="s">
        <v>729</v>
      </c>
      <c r="B2" s="11" t="s">
        <v>730</v>
      </c>
      <c r="C2" s="11" t="s">
        <v>731</v>
      </c>
      <c r="D2" s="11" t="s">
        <v>732</v>
      </c>
      <c r="E2" s="11" t="s">
        <v>733</v>
      </c>
      <c r="F2" s="11" t="s">
        <v>734</v>
      </c>
      <c r="G2" s="11" t="s">
        <v>735</v>
      </c>
      <c r="H2" s="11" t="s">
        <v>736</v>
      </c>
      <c r="I2" s="11" t="s">
        <v>737</v>
      </c>
      <c r="J2" s="11" t="s">
        <v>738</v>
      </c>
      <c r="K2" s="11" t="s">
        <v>577</v>
      </c>
    </row>
    <row r="3" customFormat="false" ht="15" hidden="false" customHeight="false" outlineLevel="0" collapsed="false">
      <c r="A3" s="12" t="s">
        <v>739</v>
      </c>
      <c r="B3" s="12" t="s">
        <v>740</v>
      </c>
      <c r="C3" s="12" t="s">
        <v>741</v>
      </c>
      <c r="D3" s="12" t="s">
        <v>540</v>
      </c>
      <c r="E3" s="12" t="s">
        <v>742</v>
      </c>
      <c r="F3" s="12" t="s">
        <v>743</v>
      </c>
      <c r="G3" s="15" t="n">
        <v>500000</v>
      </c>
      <c r="H3" s="18" t="n">
        <f aca="false">SUMIFS(Demo_History!$N:$N,Demo_History!$I:$I,B3)</f>
        <v>239000</v>
      </c>
      <c r="I3" s="18" t="n">
        <f aca="false">G3-H3</f>
        <v>261000</v>
      </c>
      <c r="J3" s="19" t="n">
        <f aca="false">IF(G3=0,0,I3/G3)</f>
        <v>0.522</v>
      </c>
      <c r="K3" s="12"/>
    </row>
    <row r="4" customFormat="false" ht="15" hidden="false" customHeight="false" outlineLevel="0" collapsed="false">
      <c r="A4" s="12" t="s">
        <v>739</v>
      </c>
      <c r="B4" s="12" t="s">
        <v>744</v>
      </c>
      <c r="C4" s="12" t="s">
        <v>745</v>
      </c>
      <c r="D4" s="12" t="s">
        <v>540</v>
      </c>
      <c r="E4" s="12" t="s">
        <v>742</v>
      </c>
      <c r="F4" s="12" t="s">
        <v>746</v>
      </c>
      <c r="G4" s="15" t="n">
        <v>2000000</v>
      </c>
      <c r="H4" s="18" t="n">
        <f aca="false">SUMIFS(Demo_History!$N:$N,Demo_History!$I:$I,B4)</f>
        <v>620000</v>
      </c>
      <c r="I4" s="18" t="n">
        <f aca="false">G4-H4</f>
        <v>1380000</v>
      </c>
      <c r="J4" s="19" t="n">
        <f aca="false">IF(G4=0,0,I4/G4)</f>
        <v>0.69</v>
      </c>
      <c r="K4" s="12"/>
    </row>
    <row r="5" customFormat="false" ht="15" hidden="false" customHeight="false" outlineLevel="0" collapsed="false">
      <c r="A5" s="12" t="s">
        <v>739</v>
      </c>
      <c r="B5" s="12" t="s">
        <v>747</v>
      </c>
      <c r="C5" s="12" t="s">
        <v>748</v>
      </c>
      <c r="D5" s="12" t="s">
        <v>543</v>
      </c>
      <c r="E5" s="12" t="s">
        <v>749</v>
      </c>
      <c r="F5" s="12" t="s">
        <v>750</v>
      </c>
      <c r="G5" s="15" t="n">
        <v>50000</v>
      </c>
      <c r="H5" s="18" t="n">
        <f aca="false">SUMIFS(Demo_History!$N:$N,Demo_History!$I:$I,B5)</f>
        <v>3000</v>
      </c>
      <c r="I5" s="18" t="n">
        <f aca="false">G5-H5</f>
        <v>47000</v>
      </c>
      <c r="J5" s="19" t="n">
        <f aca="false">IF(G5=0,0,I5/G5)</f>
        <v>0.94</v>
      </c>
      <c r="K5" s="12"/>
    </row>
    <row r="6" customFormat="false" ht="15" hidden="false" customHeight="false" outlineLevel="0" collapsed="false">
      <c r="A6" s="12" t="s">
        <v>739</v>
      </c>
      <c r="B6" s="12" t="s">
        <v>751</v>
      </c>
      <c r="C6" s="12" t="s">
        <v>752</v>
      </c>
      <c r="D6" s="12" t="s">
        <v>547</v>
      </c>
      <c r="E6" s="12" t="s">
        <v>753</v>
      </c>
      <c r="F6" s="12" t="s">
        <v>754</v>
      </c>
      <c r="G6" s="15" t="n">
        <v>100000</v>
      </c>
      <c r="H6" s="18" t="n">
        <f aca="false">SUMIFS(Demo_History!$N:$N,Demo_History!$I:$I,B6)</f>
        <v>49500</v>
      </c>
      <c r="I6" s="18" t="n">
        <f aca="false">G6-H6</f>
        <v>50500</v>
      </c>
      <c r="J6" s="19" t="n">
        <f aca="false">IF(G6=0,0,I6/G6)</f>
        <v>0.505</v>
      </c>
      <c r="K6" s="12"/>
    </row>
    <row r="7" customFormat="false" ht="23.85" hidden="false" customHeight="false" outlineLevel="0" collapsed="false">
      <c r="A7" s="12" t="s">
        <v>739</v>
      </c>
      <c r="B7" s="12" t="s">
        <v>755</v>
      </c>
      <c r="C7" s="12" t="s">
        <v>756</v>
      </c>
      <c r="D7" s="12" t="s">
        <v>174</v>
      </c>
      <c r="E7" s="12" t="s">
        <v>757</v>
      </c>
      <c r="F7" s="12" t="s">
        <v>758</v>
      </c>
      <c r="G7" s="15" t="n">
        <v>300000</v>
      </c>
      <c r="H7" s="18" t="n">
        <f aca="false">SUMIFS(Demo_History!$N:$N,Demo_History!$I:$I,B7)</f>
        <v>275000</v>
      </c>
      <c r="I7" s="18" t="n">
        <f aca="false">G7-H7</f>
        <v>25000</v>
      </c>
      <c r="J7" s="19" t="n">
        <f aca="false">IF(G7=0,0,I7/G7)</f>
        <v>0.0833333333333333</v>
      </c>
      <c r="K7" s="12" t="s">
        <v>759</v>
      </c>
    </row>
    <row r="9" customFormat="false" ht="15" hidden="false" customHeight="false" outlineLevel="0" collapsed="false">
      <c r="C9" s="20" t="s">
        <v>760</v>
      </c>
      <c r="G9" s="21" t="n">
        <f aca="false">SUM(G3:G7)</f>
        <v>2950000</v>
      </c>
      <c r="H9" s="21" t="n">
        <f aca="false">SUM(H3:H7)</f>
        <v>1186500</v>
      </c>
      <c r="I9" s="21" t="n">
        <f aca="false">SUM(I3:I7)</f>
        <v>1763500</v>
      </c>
      <c r="J9" s="22" t="n">
        <f aca="false">IF(G9=0,0,I9/G9)</f>
        <v>0.597796610169492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8"/>
    <col collapsed="false" customWidth="true" hidden="false" outlineLevel="0" max="3" min="3" style="0" width="18"/>
    <col collapsed="false" customWidth="true" hidden="false" outlineLevel="0" max="5" min="4" style="0" width="10"/>
    <col collapsed="false" customWidth="true" hidden="false" outlineLevel="0" max="6" min="6" style="0" width="28"/>
    <col collapsed="false" customWidth="true" hidden="false" outlineLevel="0" max="7" min="7" style="0" width="14"/>
    <col collapsed="false" customWidth="true" hidden="false" outlineLevel="0" max="8" min="8" style="0" width="22"/>
    <col collapsed="false" customWidth="true" hidden="false" outlineLevel="0" max="9" min="9" style="0" width="18"/>
  </cols>
  <sheetData>
    <row r="1" customFormat="false" ht="23.85" hidden="false" customHeight="false" outlineLevel="0" collapsed="false">
      <c r="A1" s="9" t="s">
        <v>487</v>
      </c>
      <c r="B1" s="9" t="s">
        <v>527</v>
      </c>
      <c r="C1" s="9" t="s">
        <v>498</v>
      </c>
      <c r="D1" s="9" t="s">
        <v>502</v>
      </c>
      <c r="E1" s="9" t="s">
        <v>761</v>
      </c>
      <c r="F1" s="9" t="s">
        <v>566</v>
      </c>
      <c r="G1" s="9" t="s">
        <v>762</v>
      </c>
      <c r="H1" s="9" t="s">
        <v>763</v>
      </c>
      <c r="I1" s="9" t="s">
        <v>764</v>
      </c>
    </row>
    <row r="2" customFormat="false" ht="31.5" hidden="false" customHeight="true" outlineLevel="0" collapsed="false">
      <c r="A2" s="11" t="s">
        <v>51</v>
      </c>
      <c r="B2" s="11" t="s">
        <v>765</v>
      </c>
      <c r="C2" s="11" t="s">
        <v>766</v>
      </c>
      <c r="D2" s="11" t="s">
        <v>767</v>
      </c>
      <c r="E2" s="11" t="s">
        <v>768</v>
      </c>
      <c r="F2" s="11" t="s">
        <v>769</v>
      </c>
      <c r="G2" s="11" t="s">
        <v>770</v>
      </c>
      <c r="H2" s="11" t="s">
        <v>771</v>
      </c>
      <c r="I2" s="11" t="s">
        <v>772</v>
      </c>
    </row>
    <row r="3" customFormat="false" ht="15" hidden="false" customHeight="false" outlineLevel="0" collapsed="false">
      <c r="A3" s="12" t="s">
        <v>67</v>
      </c>
      <c r="B3" s="12" t="s">
        <v>773</v>
      </c>
      <c r="C3" s="12" t="s">
        <v>774</v>
      </c>
      <c r="D3" s="12" t="s">
        <v>503</v>
      </c>
      <c r="E3" s="12" t="s">
        <v>706</v>
      </c>
      <c r="F3" s="12" t="s">
        <v>775</v>
      </c>
      <c r="G3" s="12" t="s">
        <v>776</v>
      </c>
      <c r="H3" s="12" t="s">
        <v>777</v>
      </c>
      <c r="I3" s="12" t="s">
        <v>778</v>
      </c>
    </row>
    <row r="4" customFormat="false" ht="15" hidden="false" customHeight="false" outlineLevel="0" collapsed="false">
      <c r="A4" s="12" t="s">
        <v>75</v>
      </c>
      <c r="B4" s="12" t="s">
        <v>779</v>
      </c>
      <c r="C4" s="12" t="s">
        <v>780</v>
      </c>
      <c r="D4" s="12" t="s">
        <v>503</v>
      </c>
      <c r="E4" s="12" t="s">
        <v>706</v>
      </c>
      <c r="F4" s="12" t="s">
        <v>781</v>
      </c>
      <c r="G4" s="12" t="s">
        <v>782</v>
      </c>
      <c r="H4" s="12" t="s">
        <v>783</v>
      </c>
      <c r="I4" s="12" t="s">
        <v>784</v>
      </c>
    </row>
    <row r="5" customFormat="false" ht="15" hidden="false" customHeight="false" outlineLevel="0" collapsed="false">
      <c r="A5" s="12" t="s">
        <v>108</v>
      </c>
      <c r="B5" s="12" t="s">
        <v>785</v>
      </c>
      <c r="C5" s="12" t="s">
        <v>786</v>
      </c>
      <c r="D5" s="12" t="s">
        <v>503</v>
      </c>
      <c r="E5" s="12" t="s">
        <v>706</v>
      </c>
      <c r="F5" s="12" t="s">
        <v>787</v>
      </c>
      <c r="G5" s="12" t="s">
        <v>788</v>
      </c>
      <c r="H5" s="12" t="s">
        <v>789</v>
      </c>
      <c r="I5" s="12" t="s">
        <v>790</v>
      </c>
    </row>
    <row r="6" customFormat="false" ht="15" hidden="false" customHeight="false" outlineLevel="0" collapsed="false">
      <c r="A6" s="12" t="s">
        <v>122</v>
      </c>
      <c r="B6" s="12" t="s">
        <v>791</v>
      </c>
      <c r="C6" s="12" t="s">
        <v>792</v>
      </c>
      <c r="D6" s="12" t="s">
        <v>503</v>
      </c>
      <c r="E6" s="12" t="s">
        <v>712</v>
      </c>
      <c r="F6" s="12" t="s">
        <v>793</v>
      </c>
      <c r="G6" s="12" t="s">
        <v>794</v>
      </c>
      <c r="H6" s="12" t="s">
        <v>795</v>
      </c>
      <c r="I6" s="12" t="s">
        <v>796</v>
      </c>
    </row>
    <row r="7" customFormat="false" ht="15" hidden="false" customHeight="false" outlineLevel="0" collapsed="false">
      <c r="A7" s="12" t="s">
        <v>171</v>
      </c>
      <c r="B7" s="12" t="s">
        <v>797</v>
      </c>
      <c r="C7" s="12" t="s">
        <v>798</v>
      </c>
      <c r="D7" s="12" t="s">
        <v>503</v>
      </c>
      <c r="E7" s="12" t="s">
        <v>706</v>
      </c>
      <c r="F7" s="12" t="s">
        <v>799</v>
      </c>
      <c r="G7" s="12" t="s">
        <v>800</v>
      </c>
      <c r="H7" s="12" t="s">
        <v>801</v>
      </c>
      <c r="I7" s="12" t="s">
        <v>802</v>
      </c>
    </row>
  </sheetData>
  <dataValidations count="1">
    <dataValidation allowBlank="true" errorStyle="stop" operator="between" showDropDown="false" showErrorMessage="false" showInputMessage="false" sqref="E3:E2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C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2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9" t="s">
        <v>487</v>
      </c>
      <c r="B1" s="9" t="s">
        <v>527</v>
      </c>
      <c r="C1" s="9" t="s">
        <v>505</v>
      </c>
    </row>
    <row r="2" customFormat="false" ht="31.5" hidden="false" customHeight="true" outlineLevel="0" collapsed="false">
      <c r="A2" s="11" t="s">
        <v>51</v>
      </c>
      <c r="B2" s="11" t="s">
        <v>803</v>
      </c>
      <c r="C2" s="11" t="s">
        <v>804</v>
      </c>
    </row>
    <row r="3" customFormat="false" ht="15" hidden="false" customHeight="false" outlineLevel="0" collapsed="false">
      <c r="A3" s="12" t="s">
        <v>805</v>
      </c>
      <c r="B3" s="12" t="s">
        <v>806</v>
      </c>
      <c r="C3" s="12" t="s">
        <v>807</v>
      </c>
    </row>
    <row r="4" customFormat="false" ht="15" hidden="false" customHeight="false" outlineLevel="0" collapsed="false">
      <c r="A4" s="12" t="s">
        <v>808</v>
      </c>
      <c r="B4" s="12" t="s">
        <v>809</v>
      </c>
      <c r="C4" s="12" t="s">
        <v>810</v>
      </c>
    </row>
    <row r="5" customFormat="false" ht="15" hidden="false" customHeight="false" outlineLevel="0" collapsed="false">
      <c r="A5" s="12" t="s">
        <v>811</v>
      </c>
      <c r="B5" s="12" t="s">
        <v>812</v>
      </c>
      <c r="C5" s="12" t="s">
        <v>813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20"/>
    <col collapsed="false" customWidth="true" hidden="false" outlineLevel="0" max="4" min="4" style="0" width="40"/>
    <col collapsed="false" customWidth="true" hidden="false" outlineLevel="0" max="5" min="5" style="0" width="44"/>
    <col collapsed="false" customWidth="true" hidden="false" outlineLevel="0" max="6" min="6" style="0" width="36"/>
    <col collapsed="false" customWidth="true" hidden="false" outlineLevel="0" max="7" min="7" style="0" width="10"/>
  </cols>
  <sheetData>
    <row r="1" customFormat="false" ht="15" hidden="false" customHeight="false" outlineLevel="0" collapsed="false">
      <c r="A1" s="9" t="s">
        <v>487</v>
      </c>
      <c r="B1" s="9" t="s">
        <v>527</v>
      </c>
      <c r="C1" s="8" t="s">
        <v>651</v>
      </c>
      <c r="D1" s="9" t="s">
        <v>658</v>
      </c>
      <c r="E1" s="9" t="s">
        <v>814</v>
      </c>
      <c r="F1" s="8" t="s">
        <v>815</v>
      </c>
      <c r="G1" s="9" t="s">
        <v>816</v>
      </c>
    </row>
    <row r="2" customFormat="false" ht="31.5" hidden="false" customHeight="true" outlineLevel="0" collapsed="false">
      <c r="A2" s="11" t="s">
        <v>51</v>
      </c>
      <c r="B2" s="11" t="s">
        <v>817</v>
      </c>
      <c r="C2" s="11" t="s">
        <v>818</v>
      </c>
      <c r="D2" s="11" t="s">
        <v>819</v>
      </c>
      <c r="E2" s="11" t="s">
        <v>820</v>
      </c>
      <c r="F2" s="11" t="s">
        <v>309</v>
      </c>
      <c r="G2" s="11" t="s">
        <v>821</v>
      </c>
    </row>
    <row r="3" customFormat="false" ht="20.85" hidden="false" customHeight="false" outlineLevel="0" collapsed="false">
      <c r="A3" s="12" t="s">
        <v>822</v>
      </c>
      <c r="B3" s="12" t="s">
        <v>823</v>
      </c>
      <c r="C3" s="12" t="s">
        <v>670</v>
      </c>
      <c r="D3" s="12" t="s">
        <v>824</v>
      </c>
      <c r="E3" s="12" t="s">
        <v>825</v>
      </c>
      <c r="F3" s="12" t="s">
        <v>826</v>
      </c>
      <c r="G3" s="12" t="s">
        <v>706</v>
      </c>
    </row>
    <row r="4" customFormat="false" ht="22.35" hidden="false" customHeight="false" outlineLevel="0" collapsed="false">
      <c r="A4" s="12" t="s">
        <v>827</v>
      </c>
      <c r="B4" s="12" t="s">
        <v>828</v>
      </c>
      <c r="C4" s="12" t="s">
        <v>670</v>
      </c>
      <c r="D4" s="12" t="s">
        <v>829</v>
      </c>
      <c r="E4" s="12" t="s">
        <v>830</v>
      </c>
      <c r="F4" s="12" t="s">
        <v>831</v>
      </c>
      <c r="G4" s="12" t="s">
        <v>706</v>
      </c>
    </row>
    <row r="5" customFormat="false" ht="23.85" hidden="false" customHeight="false" outlineLevel="0" collapsed="false">
      <c r="A5" s="12" t="s">
        <v>832</v>
      </c>
      <c r="B5" s="12" t="s">
        <v>833</v>
      </c>
      <c r="C5" s="12" t="s">
        <v>670</v>
      </c>
      <c r="D5" s="12" t="s">
        <v>834</v>
      </c>
      <c r="E5" s="12" t="s">
        <v>835</v>
      </c>
      <c r="F5" s="12" t="s">
        <v>826</v>
      </c>
      <c r="G5" s="12" t="s">
        <v>706</v>
      </c>
    </row>
    <row r="6" customFormat="false" ht="35.05" hidden="false" customHeight="false" outlineLevel="0" collapsed="false">
      <c r="A6" s="12" t="s">
        <v>836</v>
      </c>
      <c r="B6" s="12" t="s">
        <v>837</v>
      </c>
      <c r="C6" s="12" t="s">
        <v>670</v>
      </c>
      <c r="D6" s="12" t="s">
        <v>838</v>
      </c>
      <c r="E6" s="12" t="s">
        <v>839</v>
      </c>
      <c r="F6" s="12" t="s">
        <v>831</v>
      </c>
      <c r="G6" s="12" t="s">
        <v>706</v>
      </c>
    </row>
    <row r="7" customFormat="false" ht="15" hidden="false" customHeight="false" outlineLevel="0" collapsed="false">
      <c r="A7" s="12" t="s">
        <v>840</v>
      </c>
      <c r="B7" s="12" t="s">
        <v>841</v>
      </c>
      <c r="C7" s="12" t="s">
        <v>842</v>
      </c>
      <c r="D7" s="12" t="s">
        <v>843</v>
      </c>
      <c r="E7" s="12" t="s">
        <v>844</v>
      </c>
      <c r="F7" s="12" t="s">
        <v>208</v>
      </c>
      <c r="G7" s="12" t="s">
        <v>706</v>
      </c>
    </row>
  </sheetData>
  <dataValidations count="1">
    <dataValidation allowBlank="true" errorStyle="stop" operator="between" showDropDown="false" showErrorMessage="false" showInputMessage="false" sqref="G3:G2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0"/>
    <col collapsed="false" customWidth="true" hidden="false" outlineLevel="0" max="3" min="3" style="0" width="30"/>
  </cols>
  <sheetData>
    <row r="1" customFormat="false" ht="15" hidden="false" customHeight="false" outlineLevel="0" collapsed="false">
      <c r="A1" s="9" t="s">
        <v>845</v>
      </c>
      <c r="B1" s="9" t="s">
        <v>527</v>
      </c>
      <c r="C1" s="9" t="s">
        <v>846</v>
      </c>
    </row>
    <row r="2" customFormat="false" ht="31.5" hidden="false" customHeight="true" outlineLevel="0" collapsed="false">
      <c r="A2" s="11" t="s">
        <v>847</v>
      </c>
      <c r="B2" s="11" t="s">
        <v>848</v>
      </c>
      <c r="C2" s="11" t="s">
        <v>849</v>
      </c>
    </row>
    <row r="3" customFormat="false" ht="15" hidden="false" customHeight="false" outlineLevel="0" collapsed="false">
      <c r="A3" s="16" t="n">
        <v>46308</v>
      </c>
      <c r="B3" s="12" t="s">
        <v>850</v>
      </c>
      <c r="C3" s="12" t="s">
        <v>851</v>
      </c>
    </row>
    <row r="4" customFormat="false" ht="15" hidden="false" customHeight="false" outlineLevel="0" collapsed="false">
      <c r="A4" s="16" t="n">
        <v>46318</v>
      </c>
      <c r="B4" s="12" t="s">
        <v>852</v>
      </c>
      <c r="C4" s="12" t="s">
        <v>851</v>
      </c>
    </row>
    <row r="5" customFormat="false" ht="15" hidden="false" customHeight="false" outlineLevel="0" collapsed="false">
      <c r="A5" s="16" t="n">
        <v>46363</v>
      </c>
      <c r="B5" s="12" t="s">
        <v>853</v>
      </c>
      <c r="C5" s="12" t="s">
        <v>854</v>
      </c>
    </row>
    <row r="6" customFormat="false" ht="15" hidden="false" customHeight="false" outlineLevel="0" collapsed="false">
      <c r="A6" s="16" t="n">
        <v>46366</v>
      </c>
      <c r="B6" s="12" t="s">
        <v>855</v>
      </c>
      <c r="C6" s="12" t="s">
        <v>854</v>
      </c>
    </row>
    <row r="7" customFormat="false" ht="15" hidden="false" customHeight="false" outlineLevel="0" collapsed="false">
      <c r="A7" s="16" t="n">
        <v>46387</v>
      </c>
      <c r="B7" s="12" t="s">
        <v>856</v>
      </c>
      <c r="C7" s="12" t="s">
        <v>854</v>
      </c>
    </row>
    <row r="8" customFormat="false" ht="15" hidden="false" customHeight="false" outlineLevel="0" collapsed="false">
      <c r="A8" s="16" t="n">
        <v>46388</v>
      </c>
      <c r="B8" s="12" t="s">
        <v>857</v>
      </c>
      <c r="C8" s="12" t="s">
        <v>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8"/>
    <pageSetUpPr fitToPage="false"/>
  </sheetPr>
  <dimension ref="A1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4"/>
    <col collapsed="false" customWidth="true" hidden="false" outlineLevel="0" max="3" min="3" style="0" width="60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8" t="s">
        <v>480</v>
      </c>
      <c r="B1" s="8" t="s">
        <v>481</v>
      </c>
      <c r="C1" s="8" t="s">
        <v>482</v>
      </c>
      <c r="D1" s="8" t="s">
        <v>48</v>
      </c>
    </row>
    <row r="2" customFormat="false" ht="31.5" hidden="false" customHeight="true" outlineLevel="0" collapsed="false">
      <c r="A2" s="11" t="s">
        <v>483</v>
      </c>
      <c r="B2" s="11" t="s">
        <v>858</v>
      </c>
      <c r="C2" s="11" t="s">
        <v>485</v>
      </c>
      <c r="D2" s="11" t="s">
        <v>859</v>
      </c>
    </row>
    <row r="3" customFormat="false" ht="15" hidden="false" customHeight="false" outlineLevel="0" collapsed="false">
      <c r="A3" s="12" t="s">
        <v>860</v>
      </c>
      <c r="B3" s="23" t="n">
        <v>0.07</v>
      </c>
      <c r="C3" s="12" t="s">
        <v>861</v>
      </c>
      <c r="D3" s="12" t="s">
        <v>862</v>
      </c>
    </row>
    <row r="4" customFormat="false" ht="15" hidden="false" customHeight="false" outlineLevel="0" collapsed="false">
      <c r="A4" s="12" t="s">
        <v>863</v>
      </c>
      <c r="B4" s="12" t="s">
        <v>864</v>
      </c>
      <c r="C4" s="12" t="s">
        <v>865</v>
      </c>
      <c r="D4" s="12" t="s">
        <v>348</v>
      </c>
    </row>
    <row r="5" customFormat="false" ht="15" hidden="false" customHeight="false" outlineLevel="0" collapsed="false">
      <c r="A5" s="12" t="s">
        <v>866</v>
      </c>
      <c r="B5" s="12" t="s">
        <v>867</v>
      </c>
      <c r="C5" s="12" t="s">
        <v>868</v>
      </c>
      <c r="D5" s="12" t="s">
        <v>149</v>
      </c>
    </row>
    <row r="6" customFormat="false" ht="15" hidden="false" customHeight="false" outlineLevel="0" collapsed="false">
      <c r="A6" s="12" t="s">
        <v>869</v>
      </c>
      <c r="B6" s="12" t="s">
        <v>870</v>
      </c>
      <c r="C6" s="12" t="s">
        <v>871</v>
      </c>
      <c r="D6" s="12" t="s">
        <v>149</v>
      </c>
    </row>
    <row r="7" customFormat="false" ht="15" hidden="false" customHeight="false" outlineLevel="0" collapsed="false">
      <c r="A7" s="12" t="s">
        <v>872</v>
      </c>
      <c r="B7" s="12" t="s">
        <v>873</v>
      </c>
      <c r="C7" s="12" t="s">
        <v>874</v>
      </c>
      <c r="D7" s="12" t="s">
        <v>875</v>
      </c>
    </row>
    <row r="8" customFormat="false" ht="15" hidden="false" customHeight="false" outlineLevel="0" collapsed="false">
      <c r="A8" s="12" t="s">
        <v>876</v>
      </c>
      <c r="B8" s="12" t="s">
        <v>141</v>
      </c>
      <c r="C8" s="12" t="s">
        <v>877</v>
      </c>
      <c r="D8" s="12" t="s">
        <v>143</v>
      </c>
    </row>
    <row r="9" customFormat="false" ht="15" hidden="false" customHeight="false" outlineLevel="0" collapsed="false">
      <c r="A9" s="12" t="s">
        <v>878</v>
      </c>
      <c r="B9" s="12" t="s">
        <v>879</v>
      </c>
      <c r="C9" s="12" t="s">
        <v>880</v>
      </c>
      <c r="D9" s="12" t="s">
        <v>143</v>
      </c>
    </row>
    <row r="10" customFormat="false" ht="15" hidden="false" customHeight="false" outlineLevel="0" collapsed="false">
      <c r="A10" s="12" t="s">
        <v>881</v>
      </c>
      <c r="B10" s="12" t="s">
        <v>882</v>
      </c>
      <c r="C10" s="12" t="s">
        <v>883</v>
      </c>
      <c r="D10" s="12" t="s">
        <v>143</v>
      </c>
    </row>
    <row r="11" customFormat="false" ht="15" hidden="false" customHeight="false" outlineLevel="0" collapsed="false">
      <c r="A11" s="12" t="s">
        <v>884</v>
      </c>
      <c r="B11" s="12" t="s">
        <v>885</v>
      </c>
      <c r="C11" s="12" t="s">
        <v>886</v>
      </c>
      <c r="D11" s="12" t="s">
        <v>143</v>
      </c>
    </row>
    <row r="12" customFormat="false" ht="15" hidden="false" customHeight="false" outlineLevel="0" collapsed="false">
      <c r="A12" s="12" t="s">
        <v>887</v>
      </c>
      <c r="B12" s="12" t="s">
        <v>888</v>
      </c>
      <c r="C12" s="12" t="s">
        <v>889</v>
      </c>
      <c r="D12" s="12" t="s">
        <v>115</v>
      </c>
    </row>
    <row r="13" customFormat="false" ht="15" hidden="false" customHeight="false" outlineLevel="0" collapsed="false">
      <c r="A13" s="12" t="s">
        <v>890</v>
      </c>
      <c r="B13" s="12" t="s">
        <v>891</v>
      </c>
      <c r="C13" s="12" t="s">
        <v>892</v>
      </c>
      <c r="D13" s="12" t="s">
        <v>130</v>
      </c>
    </row>
    <row r="14" customFormat="false" ht="15" hidden="false" customHeight="false" outlineLevel="0" collapsed="false">
      <c r="A14" s="12" t="s">
        <v>893</v>
      </c>
      <c r="B14" s="15" t="n">
        <v>100000</v>
      </c>
      <c r="C14" s="12" t="s">
        <v>894</v>
      </c>
      <c r="D14" s="12" t="s">
        <v>136</v>
      </c>
    </row>
    <row r="15" customFormat="false" ht="15" hidden="false" customHeight="false" outlineLevel="0" collapsed="false">
      <c r="A15" s="12" t="s">
        <v>895</v>
      </c>
      <c r="B15" s="12" t="n">
        <v>0</v>
      </c>
      <c r="C15" s="12" t="s">
        <v>896</v>
      </c>
      <c r="D15" s="12" t="s">
        <v>400</v>
      </c>
    </row>
    <row r="16" customFormat="false" ht="15" hidden="false" customHeight="false" outlineLevel="0" collapsed="false">
      <c r="A16" s="12" t="s">
        <v>897</v>
      </c>
      <c r="B16" s="17" t="n">
        <v>0.1</v>
      </c>
      <c r="C16" s="12" t="s">
        <v>898</v>
      </c>
      <c r="D16" s="12" t="s">
        <v>899</v>
      </c>
    </row>
    <row r="17" customFormat="false" ht="15" hidden="false" customHeight="false" outlineLevel="0" collapsed="false">
      <c r="A17" s="12" t="s">
        <v>900</v>
      </c>
      <c r="B17" s="17" t="n">
        <v>0.1</v>
      </c>
      <c r="C17" s="12" t="s">
        <v>901</v>
      </c>
      <c r="D17" s="12" t="s">
        <v>902</v>
      </c>
    </row>
    <row r="18" customFormat="false" ht="15" hidden="false" customHeight="false" outlineLevel="0" collapsed="false">
      <c r="A18" s="12" t="s">
        <v>903</v>
      </c>
      <c r="B18" s="12" t="s">
        <v>904</v>
      </c>
      <c r="C18" s="12" t="s">
        <v>905</v>
      </c>
      <c r="D18" s="12" t="s">
        <v>363</v>
      </c>
    </row>
    <row r="19" customFormat="false" ht="15" hidden="false" customHeight="false" outlineLevel="0" collapsed="false">
      <c r="A19" s="12" t="s">
        <v>906</v>
      </c>
      <c r="B19" s="12" t="s">
        <v>907</v>
      </c>
      <c r="C19" s="12" t="s">
        <v>908</v>
      </c>
      <c r="D19" s="12" t="s">
        <v>368</v>
      </c>
    </row>
    <row r="20" customFormat="false" ht="15" hidden="false" customHeight="false" outlineLevel="0" collapsed="false">
      <c r="A20" s="12" t="s">
        <v>909</v>
      </c>
      <c r="B20" s="12" t="s">
        <v>712</v>
      </c>
      <c r="C20" s="12" t="s">
        <v>910</v>
      </c>
      <c r="D20" s="12" t="s">
        <v>319</v>
      </c>
    </row>
    <row r="21" customFormat="false" ht="15" hidden="false" customHeight="false" outlineLevel="0" collapsed="false">
      <c r="A21" s="12" t="s">
        <v>911</v>
      </c>
      <c r="B21" s="12" t="s">
        <v>712</v>
      </c>
      <c r="C21" s="12" t="s">
        <v>912</v>
      </c>
      <c r="D21" s="12" t="s">
        <v>324</v>
      </c>
    </row>
    <row r="22" customFormat="false" ht="15" hidden="false" customHeight="false" outlineLevel="0" collapsed="false">
      <c r="A22" s="12" t="s">
        <v>913</v>
      </c>
      <c r="B22" s="12" t="s">
        <v>914</v>
      </c>
      <c r="C22" s="12" t="s">
        <v>915</v>
      </c>
      <c r="D22" s="12" t="s">
        <v>336</v>
      </c>
    </row>
    <row r="23" customFormat="false" ht="15" hidden="false" customHeight="false" outlineLevel="0" collapsed="false">
      <c r="A23" s="12" t="s">
        <v>916</v>
      </c>
      <c r="B23" s="12" t="s">
        <v>712</v>
      </c>
      <c r="C23" s="12" t="s">
        <v>917</v>
      </c>
      <c r="D23" s="12" t="s">
        <v>358</v>
      </c>
    </row>
    <row r="24" customFormat="false" ht="15" hidden="false" customHeight="false" outlineLevel="0" collapsed="false">
      <c r="A24" s="12" t="s">
        <v>918</v>
      </c>
      <c r="B24" s="12" t="s">
        <v>919</v>
      </c>
      <c r="C24" s="12" t="s">
        <v>920</v>
      </c>
      <c r="D24" s="12" t="s">
        <v>353</v>
      </c>
    </row>
    <row r="25" customFormat="false" ht="15" hidden="false" customHeight="false" outlineLevel="0" collapsed="false">
      <c r="A25" s="12" t="s">
        <v>921</v>
      </c>
      <c r="B25" s="12" t="s">
        <v>922</v>
      </c>
      <c r="C25" s="12" t="s">
        <v>923</v>
      </c>
      <c r="D25" s="12" t="s">
        <v>123</v>
      </c>
    </row>
    <row r="26" customFormat="false" ht="15" hidden="false" customHeight="false" outlineLevel="0" collapsed="false">
      <c r="A26" s="12" t="s">
        <v>924</v>
      </c>
      <c r="B26" s="12" t="n">
        <v>5</v>
      </c>
      <c r="C26" s="12" t="s">
        <v>925</v>
      </c>
      <c r="D26" s="12" t="s">
        <v>387</v>
      </c>
    </row>
    <row r="27" customFormat="false" ht="15" hidden="false" customHeight="false" outlineLevel="0" collapsed="false">
      <c r="A27" s="12" t="s">
        <v>926</v>
      </c>
      <c r="B27" s="12" t="s">
        <v>927</v>
      </c>
      <c r="C27" s="12" t="s">
        <v>928</v>
      </c>
      <c r="D27" s="12" t="s">
        <v>929</v>
      </c>
    </row>
    <row r="28" customFormat="false" ht="15" hidden="false" customHeight="false" outlineLevel="0" collapsed="false">
      <c r="A28" s="12" t="s">
        <v>930</v>
      </c>
      <c r="B28" s="12" t="s">
        <v>931</v>
      </c>
      <c r="C28" s="12" t="s">
        <v>932</v>
      </c>
      <c r="D28" s="12" t="s">
        <v>155</v>
      </c>
    </row>
    <row r="29" customFormat="false" ht="15" hidden="false" customHeight="false" outlineLevel="0" collapsed="false">
      <c r="A29" s="12" t="s">
        <v>933</v>
      </c>
      <c r="B29" s="12" t="n">
        <v>30</v>
      </c>
      <c r="C29" s="12" t="s">
        <v>434</v>
      </c>
      <c r="D29" s="12" t="s">
        <v>437</v>
      </c>
    </row>
    <row r="30" customFormat="false" ht="15" hidden="false" customHeight="false" outlineLevel="0" collapsed="false">
      <c r="A30" s="12" t="s">
        <v>934</v>
      </c>
      <c r="B30" s="12" t="s">
        <v>935</v>
      </c>
      <c r="C30" s="12" t="s">
        <v>936</v>
      </c>
      <c r="D30" s="12" t="s">
        <v>479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T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9"/>
    <col collapsed="false" customWidth="true" hidden="false" outlineLevel="0" max="3" min="3" style="0" width="12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10"/>
    <col collapsed="false" customWidth="true" hidden="false" outlineLevel="0" max="8" min="8" style="0" width="8"/>
    <col collapsed="false" customWidth="true" hidden="false" outlineLevel="0" max="9" min="9" style="0" width="16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13"/>
    <col collapsed="false" customWidth="true" hidden="false" outlineLevel="0" max="13" min="13" style="0" width="17"/>
    <col collapsed="false" customWidth="true" hidden="false" outlineLevel="0" max="14" min="14" style="0" width="13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7" min="17" style="0" width="9"/>
    <col collapsed="false" customWidth="true" hidden="false" outlineLevel="0" max="18" min="18" style="0" width="12"/>
    <col collapsed="false" customWidth="true" hidden="false" outlineLevel="0" max="19" min="19" style="0" width="11"/>
    <col collapsed="false" customWidth="true" hidden="false" outlineLevel="0" max="20" min="20" style="0" width="40"/>
  </cols>
  <sheetData>
    <row r="1" customFormat="false" ht="23.85" hidden="false" customHeight="false" outlineLevel="0" collapsed="false">
      <c r="A1" s="14" t="s">
        <v>48</v>
      </c>
      <c r="B1" s="14" t="s">
        <v>937</v>
      </c>
      <c r="C1" s="14" t="s">
        <v>938</v>
      </c>
      <c r="D1" s="14" t="s">
        <v>939</v>
      </c>
      <c r="E1" s="14" t="s">
        <v>940</v>
      </c>
      <c r="F1" s="14" t="s">
        <v>941</v>
      </c>
      <c r="G1" s="14" t="s">
        <v>942</v>
      </c>
      <c r="H1" s="14" t="s">
        <v>943</v>
      </c>
      <c r="I1" s="14" t="s">
        <v>944</v>
      </c>
      <c r="J1" s="14" t="s">
        <v>945</v>
      </c>
      <c r="K1" s="14" t="s">
        <v>946</v>
      </c>
      <c r="L1" s="14" t="s">
        <v>947</v>
      </c>
      <c r="M1" s="14" t="s">
        <v>50</v>
      </c>
      <c r="N1" s="14" t="s">
        <v>948</v>
      </c>
      <c r="O1" s="14" t="s">
        <v>949</v>
      </c>
      <c r="P1" s="14" t="s">
        <v>950</v>
      </c>
      <c r="Q1" s="14" t="s">
        <v>951</v>
      </c>
      <c r="R1" s="14" t="s">
        <v>952</v>
      </c>
      <c r="S1" s="14" t="s">
        <v>953</v>
      </c>
      <c r="T1" s="14" t="s">
        <v>570</v>
      </c>
    </row>
    <row r="2" customFormat="false" ht="31.5" hidden="false" customHeight="true" outlineLevel="0" collapsed="false">
      <c r="A2" s="11" t="s">
        <v>51</v>
      </c>
      <c r="B2" s="11" t="s">
        <v>954</v>
      </c>
      <c r="C2" s="11" t="s">
        <v>955</v>
      </c>
      <c r="D2" s="11" t="s">
        <v>732</v>
      </c>
      <c r="E2" s="11" t="s">
        <v>956</v>
      </c>
      <c r="F2" s="11" t="s">
        <v>957</v>
      </c>
      <c r="G2" s="11" t="s">
        <v>958</v>
      </c>
      <c r="H2" s="11" t="s">
        <v>117</v>
      </c>
      <c r="I2" s="11" t="s">
        <v>959</v>
      </c>
      <c r="J2" s="11" t="s">
        <v>960</v>
      </c>
      <c r="K2" s="11" t="s">
        <v>961</v>
      </c>
      <c r="L2" s="11" t="s">
        <v>962</v>
      </c>
      <c r="M2" s="11" t="s">
        <v>963</v>
      </c>
      <c r="N2" s="11" t="s">
        <v>964</v>
      </c>
      <c r="O2" s="11" t="s">
        <v>965</v>
      </c>
      <c r="P2" s="11" t="s">
        <v>966</v>
      </c>
      <c r="Q2" s="11" t="s">
        <v>967</v>
      </c>
      <c r="R2" s="11" t="s">
        <v>968</v>
      </c>
      <c r="S2" s="11" t="s">
        <v>969</v>
      </c>
      <c r="T2" s="11" t="s">
        <v>577</v>
      </c>
    </row>
    <row r="3" customFormat="false" ht="23.85" hidden="false" customHeight="false" outlineLevel="0" collapsed="false">
      <c r="A3" s="12" t="s">
        <v>970</v>
      </c>
      <c r="B3" s="12" t="n">
        <v>40</v>
      </c>
      <c r="C3" s="12" t="s">
        <v>618</v>
      </c>
      <c r="D3" s="12" t="s">
        <v>174</v>
      </c>
      <c r="E3" s="12" t="s">
        <v>836</v>
      </c>
      <c r="F3" s="12" t="s">
        <v>971</v>
      </c>
      <c r="G3" s="12" t="s">
        <v>811</v>
      </c>
      <c r="H3" s="12" t="s">
        <v>75</v>
      </c>
      <c r="I3" s="12" t="s">
        <v>755</v>
      </c>
      <c r="J3" s="15" t="n">
        <v>120000</v>
      </c>
      <c r="K3" s="18" t="n">
        <f aca="false">ROUND(J3*Settings!$B$3,2)</f>
        <v>8400</v>
      </c>
      <c r="L3" s="18" t="n">
        <f aca="false">J3+K3</f>
        <v>128400</v>
      </c>
      <c r="M3" s="12" t="s">
        <v>972</v>
      </c>
      <c r="N3" s="18" t="n">
        <f aca="false">IF(OR(M3="REJECTED",M3="CANCELLED"),0,J3)</f>
        <v>120000</v>
      </c>
      <c r="O3" s="12" t="s">
        <v>675</v>
      </c>
      <c r="P3" s="12" t="s">
        <v>517</v>
      </c>
      <c r="Q3" s="12" t="s">
        <v>712</v>
      </c>
      <c r="R3" s="12" t="n">
        <v>5</v>
      </c>
      <c r="S3" s="12" t="s">
        <v>973</v>
      </c>
      <c r="T3" s="12" t="s">
        <v>974</v>
      </c>
    </row>
    <row r="4" customFormat="false" ht="23.85" hidden="false" customHeight="false" outlineLevel="0" collapsed="false">
      <c r="A4" s="12" t="s">
        <v>975</v>
      </c>
      <c r="B4" s="12" t="n">
        <v>33</v>
      </c>
      <c r="C4" s="12" t="s">
        <v>618</v>
      </c>
      <c r="D4" s="12" t="s">
        <v>174</v>
      </c>
      <c r="E4" s="12" t="s">
        <v>836</v>
      </c>
      <c r="F4" s="12" t="s">
        <v>976</v>
      </c>
      <c r="G4" s="12" t="s">
        <v>811</v>
      </c>
      <c r="H4" s="12" t="s">
        <v>75</v>
      </c>
      <c r="I4" s="12" t="s">
        <v>755</v>
      </c>
      <c r="J4" s="15" t="n">
        <v>85000</v>
      </c>
      <c r="K4" s="18" t="n">
        <f aca="false">ROUND(J4*Settings!$B$3,2)</f>
        <v>5950</v>
      </c>
      <c r="L4" s="18" t="n">
        <f aca="false">J4+K4</f>
        <v>90950</v>
      </c>
      <c r="M4" s="12" t="s">
        <v>977</v>
      </c>
      <c r="N4" s="18" t="n">
        <f aca="false">IF(OR(M4="REJECTED",M4="CANCELLED"),0,J4)</f>
        <v>85000</v>
      </c>
      <c r="O4" s="12" t="s">
        <v>673</v>
      </c>
      <c r="P4" s="12" t="s">
        <v>637</v>
      </c>
      <c r="Q4" s="12" t="s">
        <v>712</v>
      </c>
      <c r="R4" s="12" t="n">
        <v>3</v>
      </c>
      <c r="S4" s="12" t="s">
        <v>978</v>
      </c>
      <c r="T4" s="12"/>
    </row>
    <row r="5" customFormat="false" ht="15" hidden="false" customHeight="false" outlineLevel="0" collapsed="false">
      <c r="A5" s="12" t="s">
        <v>979</v>
      </c>
      <c r="B5" s="12" t="n">
        <v>12</v>
      </c>
      <c r="C5" s="12" t="s">
        <v>618</v>
      </c>
      <c r="D5" s="12" t="s">
        <v>174</v>
      </c>
      <c r="E5" s="12" t="s">
        <v>836</v>
      </c>
      <c r="F5" s="12" t="s">
        <v>980</v>
      </c>
      <c r="G5" s="12" t="s">
        <v>808</v>
      </c>
      <c r="H5" s="12" t="s">
        <v>75</v>
      </c>
      <c r="I5" s="12" t="s">
        <v>755</v>
      </c>
      <c r="J5" s="15" t="n">
        <v>45000</v>
      </c>
      <c r="K5" s="18" t="n">
        <f aca="false">ROUND(J5*Settings!$B$3,2)</f>
        <v>3150</v>
      </c>
      <c r="L5" s="18" t="n">
        <f aca="false">J5+K5</f>
        <v>48150</v>
      </c>
      <c r="M5" s="12" t="s">
        <v>981</v>
      </c>
      <c r="N5" s="18" t="n">
        <f aca="false">IF(OR(M5="REJECTED",M5="CANCELLED"),0,J5)</f>
        <v>45000</v>
      </c>
      <c r="O5" s="12" t="s">
        <v>673</v>
      </c>
      <c r="P5" s="12" t="s">
        <v>637</v>
      </c>
      <c r="Q5" s="12" t="s">
        <v>712</v>
      </c>
      <c r="R5" s="12" t="n">
        <v>2</v>
      </c>
      <c r="S5" s="12" t="s">
        <v>978</v>
      </c>
      <c r="T5" s="12" t="s">
        <v>982</v>
      </c>
    </row>
    <row r="6" customFormat="false" ht="23.85" hidden="false" customHeight="false" outlineLevel="0" collapsed="false">
      <c r="A6" s="12" t="s">
        <v>983</v>
      </c>
      <c r="B6" s="12" t="n">
        <v>28</v>
      </c>
      <c r="C6" s="12" t="s">
        <v>622</v>
      </c>
      <c r="D6" s="12" t="s">
        <v>174</v>
      </c>
      <c r="E6" s="12" t="s">
        <v>836</v>
      </c>
      <c r="F6" s="12" t="s">
        <v>984</v>
      </c>
      <c r="G6" s="12" t="s">
        <v>811</v>
      </c>
      <c r="H6" s="12" t="s">
        <v>75</v>
      </c>
      <c r="I6" s="12" t="s">
        <v>755</v>
      </c>
      <c r="J6" s="15" t="n">
        <v>18000</v>
      </c>
      <c r="K6" s="18" t="n">
        <f aca="false">ROUND(J6*Settings!$B$3,2)</f>
        <v>1260</v>
      </c>
      <c r="L6" s="18" t="n">
        <f aca="false">J6+K6</f>
        <v>19260</v>
      </c>
      <c r="M6" s="12" t="s">
        <v>972</v>
      </c>
      <c r="N6" s="18" t="n">
        <f aca="false">IF(OR(M6="REJECTED",M6="CANCELLED"),0,J6)</f>
        <v>18000</v>
      </c>
      <c r="O6" s="12" t="s">
        <v>669</v>
      </c>
      <c r="P6" s="12" t="s">
        <v>637</v>
      </c>
      <c r="Q6" s="12" t="s">
        <v>706</v>
      </c>
      <c r="R6" s="12" t="n">
        <v>4</v>
      </c>
      <c r="S6" s="12" t="s">
        <v>985</v>
      </c>
      <c r="T6" s="12" t="s">
        <v>986</v>
      </c>
    </row>
    <row r="7" customFormat="false" ht="23.85" hidden="false" customHeight="false" outlineLevel="0" collapsed="false">
      <c r="A7" s="12" t="s">
        <v>987</v>
      </c>
      <c r="B7" s="12" t="n">
        <v>21</v>
      </c>
      <c r="C7" s="12" t="s">
        <v>618</v>
      </c>
      <c r="D7" s="12" t="s">
        <v>174</v>
      </c>
      <c r="E7" s="12" t="s">
        <v>822</v>
      </c>
      <c r="F7" s="12" t="s">
        <v>988</v>
      </c>
      <c r="G7" s="12" t="s">
        <v>811</v>
      </c>
      <c r="H7" s="12" t="s">
        <v>75</v>
      </c>
      <c r="I7" s="12" t="s">
        <v>755</v>
      </c>
      <c r="J7" s="15" t="n">
        <v>7000</v>
      </c>
      <c r="K7" s="18" t="n">
        <f aca="false">ROUND(J7*Settings!$B$3,2)</f>
        <v>490</v>
      </c>
      <c r="L7" s="18" t="n">
        <f aca="false">J7+K7</f>
        <v>7490</v>
      </c>
      <c r="M7" s="12" t="s">
        <v>972</v>
      </c>
      <c r="N7" s="18" t="n">
        <f aca="false">IF(OR(M7="REJECTED",M7="CANCELLED"),0,J7)</f>
        <v>7000</v>
      </c>
      <c r="O7" s="12" t="s">
        <v>669</v>
      </c>
      <c r="P7" s="12" t="s">
        <v>622</v>
      </c>
      <c r="Q7" s="12" t="s">
        <v>712</v>
      </c>
      <c r="R7" s="12" t="n">
        <v>1</v>
      </c>
      <c r="S7" s="12" t="s">
        <v>978</v>
      </c>
      <c r="T7" s="12"/>
    </row>
    <row r="8" customFormat="false" ht="23.85" hidden="false" customHeight="false" outlineLevel="0" collapsed="false">
      <c r="A8" s="12" t="s">
        <v>989</v>
      </c>
      <c r="B8" s="12" t="n">
        <v>9</v>
      </c>
      <c r="C8" s="12" t="s">
        <v>618</v>
      </c>
      <c r="D8" s="12" t="s">
        <v>174</v>
      </c>
      <c r="E8" s="12" t="s">
        <v>822</v>
      </c>
      <c r="F8" s="12" t="s">
        <v>990</v>
      </c>
      <c r="G8" s="12" t="s">
        <v>811</v>
      </c>
      <c r="H8" s="12" t="s">
        <v>75</v>
      </c>
      <c r="I8" s="12" t="s">
        <v>755</v>
      </c>
      <c r="J8" s="15" t="n">
        <v>9500</v>
      </c>
      <c r="K8" s="18" t="n">
        <f aca="false">ROUND(J8*Settings!$B$3,2)</f>
        <v>665</v>
      </c>
      <c r="L8" s="18" t="n">
        <f aca="false">J8+K8</f>
        <v>10165</v>
      </c>
      <c r="M8" s="12" t="s">
        <v>991</v>
      </c>
      <c r="N8" s="18" t="n">
        <f aca="false">IF(OR(M8="REJECTED",M8="CANCELLED"),0,J8)</f>
        <v>0</v>
      </c>
      <c r="O8" s="12" t="s">
        <v>669</v>
      </c>
      <c r="P8" s="12" t="s">
        <v>622</v>
      </c>
      <c r="Q8" s="12" t="s">
        <v>712</v>
      </c>
      <c r="R8" s="12" t="n">
        <v>2</v>
      </c>
      <c r="S8" s="12" t="s">
        <v>973</v>
      </c>
      <c r="T8" s="12" t="s">
        <v>992</v>
      </c>
    </row>
    <row r="9" customFormat="false" ht="15" hidden="false" customHeight="false" outlineLevel="0" collapsed="false">
      <c r="A9" s="12" t="s">
        <v>993</v>
      </c>
      <c r="B9" s="12" t="n">
        <v>44</v>
      </c>
      <c r="C9" s="12" t="s">
        <v>578</v>
      </c>
      <c r="D9" s="12" t="s">
        <v>540</v>
      </c>
      <c r="E9" s="12" t="s">
        <v>822</v>
      </c>
      <c r="F9" s="12" t="s">
        <v>994</v>
      </c>
      <c r="G9" s="12" t="s">
        <v>805</v>
      </c>
      <c r="H9" s="12" t="s">
        <v>67</v>
      </c>
      <c r="I9" s="12" t="s">
        <v>740</v>
      </c>
      <c r="J9" s="15" t="n">
        <v>28000</v>
      </c>
      <c r="K9" s="18" t="n">
        <f aca="false">ROUND(J9*Settings!$B$3,2)</f>
        <v>1960</v>
      </c>
      <c r="L9" s="18" t="n">
        <f aca="false">J9+K9</f>
        <v>29960</v>
      </c>
      <c r="M9" s="12" t="s">
        <v>972</v>
      </c>
      <c r="N9" s="18" t="n">
        <f aca="false">IF(OR(M9="REJECTED",M9="CANCELLED"),0,J9)</f>
        <v>28000</v>
      </c>
      <c r="O9" s="12" t="s">
        <v>673</v>
      </c>
      <c r="P9" s="12" t="s">
        <v>633</v>
      </c>
      <c r="Q9" s="12" t="s">
        <v>712</v>
      </c>
      <c r="R9" s="12" t="n">
        <v>3</v>
      </c>
      <c r="S9" s="12" t="s">
        <v>978</v>
      </c>
      <c r="T9" s="12"/>
    </row>
    <row r="10" customFormat="false" ht="23.85" hidden="false" customHeight="false" outlineLevel="0" collapsed="false">
      <c r="A10" s="12" t="s">
        <v>995</v>
      </c>
      <c r="B10" s="12" t="n">
        <v>38</v>
      </c>
      <c r="C10" s="12" t="s">
        <v>578</v>
      </c>
      <c r="D10" s="12" t="s">
        <v>540</v>
      </c>
      <c r="E10" s="12" t="s">
        <v>822</v>
      </c>
      <c r="F10" s="12" t="s">
        <v>996</v>
      </c>
      <c r="G10" s="12" t="s">
        <v>805</v>
      </c>
      <c r="H10" s="12" t="s">
        <v>67</v>
      </c>
      <c r="I10" s="12" t="s">
        <v>740</v>
      </c>
      <c r="J10" s="15" t="n">
        <v>96000</v>
      </c>
      <c r="K10" s="18" t="n">
        <f aca="false">ROUND(J10*Settings!$B$3,2)</f>
        <v>6720</v>
      </c>
      <c r="L10" s="18" t="n">
        <f aca="false">J10+K10</f>
        <v>102720</v>
      </c>
      <c r="M10" s="12" t="s">
        <v>972</v>
      </c>
      <c r="N10" s="18" t="n">
        <f aca="false">IF(OR(M10="REJECTED",M10="CANCELLED"),0,J10)</f>
        <v>96000</v>
      </c>
      <c r="O10" s="12" t="s">
        <v>675</v>
      </c>
      <c r="P10" s="12" t="s">
        <v>517</v>
      </c>
      <c r="Q10" s="12" t="s">
        <v>712</v>
      </c>
      <c r="R10" s="12" t="n">
        <v>6</v>
      </c>
      <c r="S10" s="12" t="s">
        <v>973</v>
      </c>
      <c r="T10" s="12" t="s">
        <v>997</v>
      </c>
    </row>
    <row r="11" customFormat="false" ht="15" hidden="false" customHeight="false" outlineLevel="0" collapsed="false">
      <c r="A11" s="12" t="s">
        <v>998</v>
      </c>
      <c r="B11" s="12" t="n">
        <v>30</v>
      </c>
      <c r="C11" s="12" t="s">
        <v>581</v>
      </c>
      <c r="D11" s="12" t="s">
        <v>540</v>
      </c>
      <c r="E11" s="12" t="s">
        <v>822</v>
      </c>
      <c r="F11" s="12" t="s">
        <v>999</v>
      </c>
      <c r="G11" s="12" t="s">
        <v>808</v>
      </c>
      <c r="H11" s="12" t="s">
        <v>67</v>
      </c>
      <c r="I11" s="12" t="s">
        <v>740</v>
      </c>
      <c r="J11" s="15" t="n">
        <v>14500</v>
      </c>
      <c r="K11" s="18" t="n">
        <f aca="false">ROUND(J11*Settings!$B$3,2)</f>
        <v>1015</v>
      </c>
      <c r="L11" s="18" t="n">
        <f aca="false">J11+K11</f>
        <v>15515</v>
      </c>
      <c r="M11" s="12" t="s">
        <v>972</v>
      </c>
      <c r="N11" s="18" t="n">
        <f aca="false">IF(OR(M11="REJECTED",M11="CANCELLED"),0,J11)</f>
        <v>14500</v>
      </c>
      <c r="O11" s="12" t="s">
        <v>669</v>
      </c>
      <c r="P11" s="12" t="s">
        <v>593</v>
      </c>
      <c r="Q11" s="12" t="s">
        <v>712</v>
      </c>
      <c r="R11" s="12" t="n">
        <v>1</v>
      </c>
      <c r="S11" s="12" t="s">
        <v>978</v>
      </c>
      <c r="T11" s="12"/>
    </row>
    <row r="12" customFormat="false" ht="15" hidden="false" customHeight="false" outlineLevel="0" collapsed="false">
      <c r="A12" s="12" t="s">
        <v>1000</v>
      </c>
      <c r="B12" s="12" t="n">
        <v>18</v>
      </c>
      <c r="C12" s="12" t="s">
        <v>581</v>
      </c>
      <c r="D12" s="12" t="s">
        <v>540</v>
      </c>
      <c r="E12" s="12" t="s">
        <v>827</v>
      </c>
      <c r="F12" s="12" t="s">
        <v>1001</v>
      </c>
      <c r="G12" s="12" t="s">
        <v>808</v>
      </c>
      <c r="H12" s="12" t="s">
        <v>67</v>
      </c>
      <c r="I12" s="12" t="s">
        <v>740</v>
      </c>
      <c r="J12" s="15" t="n">
        <v>18000</v>
      </c>
      <c r="K12" s="18" t="n">
        <f aca="false">ROUND(J12*Settings!$B$3,2)</f>
        <v>1260</v>
      </c>
      <c r="L12" s="18" t="n">
        <f aca="false">J12+K12</f>
        <v>19260</v>
      </c>
      <c r="M12" s="12" t="s">
        <v>977</v>
      </c>
      <c r="N12" s="18" t="n">
        <f aca="false">IF(OR(M12="REJECTED",M12="CANCELLED"),0,J12)</f>
        <v>18000</v>
      </c>
      <c r="O12" s="12" t="s">
        <v>669</v>
      </c>
      <c r="P12" s="12" t="s">
        <v>593</v>
      </c>
      <c r="Q12" s="12" t="s">
        <v>712</v>
      </c>
      <c r="R12" s="12" t="n">
        <v>2</v>
      </c>
      <c r="S12" s="12" t="s">
        <v>985</v>
      </c>
      <c r="T12" s="12"/>
    </row>
    <row r="13" customFormat="false" ht="15" hidden="false" customHeight="false" outlineLevel="0" collapsed="false">
      <c r="A13" s="12" t="s">
        <v>1002</v>
      </c>
      <c r="B13" s="12" t="n">
        <v>8</v>
      </c>
      <c r="C13" s="12" t="s">
        <v>585</v>
      </c>
      <c r="D13" s="12" t="s">
        <v>540</v>
      </c>
      <c r="E13" s="12" t="s">
        <v>822</v>
      </c>
      <c r="F13" s="12" t="s">
        <v>1003</v>
      </c>
      <c r="G13" s="12" t="s">
        <v>805</v>
      </c>
      <c r="H13" s="12" t="s">
        <v>67</v>
      </c>
      <c r="I13" s="12" t="s">
        <v>740</v>
      </c>
      <c r="J13" s="15" t="n">
        <v>12000</v>
      </c>
      <c r="K13" s="18" t="n">
        <f aca="false">ROUND(J13*Settings!$B$3,2)</f>
        <v>840</v>
      </c>
      <c r="L13" s="18" t="n">
        <f aca="false">J13+K13</f>
        <v>12840</v>
      </c>
      <c r="M13" s="12" t="s">
        <v>981</v>
      </c>
      <c r="N13" s="18" t="n">
        <f aca="false">IF(OR(M13="REJECTED",M13="CANCELLED"),0,J13)</f>
        <v>12000</v>
      </c>
      <c r="O13" s="12" t="s">
        <v>669</v>
      </c>
      <c r="P13" s="12" t="s">
        <v>593</v>
      </c>
      <c r="Q13" s="12" t="s">
        <v>712</v>
      </c>
      <c r="R13" s="12" t="n">
        <v>1</v>
      </c>
      <c r="S13" s="12" t="s">
        <v>978</v>
      </c>
      <c r="T13" s="12" t="s">
        <v>1004</v>
      </c>
    </row>
    <row r="14" customFormat="false" ht="23.85" hidden="false" customHeight="false" outlineLevel="0" collapsed="false">
      <c r="A14" s="12" t="s">
        <v>1005</v>
      </c>
      <c r="B14" s="12" t="n">
        <v>4</v>
      </c>
      <c r="C14" s="12" t="s">
        <v>578</v>
      </c>
      <c r="D14" s="12" t="s">
        <v>540</v>
      </c>
      <c r="E14" s="12" t="s">
        <v>822</v>
      </c>
      <c r="F14" s="12" t="s">
        <v>1006</v>
      </c>
      <c r="G14" s="12" t="s">
        <v>805</v>
      </c>
      <c r="H14" s="12" t="s">
        <v>67</v>
      </c>
      <c r="I14" s="12" t="s">
        <v>740</v>
      </c>
      <c r="J14" s="15" t="n">
        <v>38500</v>
      </c>
      <c r="K14" s="18" t="n">
        <f aca="false">ROUND(J14*Settings!$B$3,2)</f>
        <v>2695</v>
      </c>
      <c r="L14" s="18" t="n">
        <f aca="false">J14+K14</f>
        <v>41195</v>
      </c>
      <c r="M14" s="12" t="s">
        <v>1007</v>
      </c>
      <c r="N14" s="18" t="n">
        <f aca="false">IF(OR(M14="REJECTED",M14="CANCELLED"),0,J14)</f>
        <v>38500</v>
      </c>
      <c r="O14" s="12" t="s">
        <v>673</v>
      </c>
      <c r="P14" s="12" t="s">
        <v>633</v>
      </c>
      <c r="Q14" s="12" t="s">
        <v>712</v>
      </c>
      <c r="R14" s="12" t="n">
        <v>18</v>
      </c>
      <c r="S14" s="12"/>
      <c r="T14" s="12" t="s">
        <v>1008</v>
      </c>
    </row>
    <row r="15" customFormat="false" ht="23.85" hidden="false" customHeight="false" outlineLevel="0" collapsed="false">
      <c r="A15" s="12" t="s">
        <v>1009</v>
      </c>
      <c r="B15" s="12" t="n">
        <v>1</v>
      </c>
      <c r="C15" s="12" t="s">
        <v>581</v>
      </c>
      <c r="D15" s="12" t="s">
        <v>540</v>
      </c>
      <c r="E15" s="12" t="s">
        <v>822</v>
      </c>
      <c r="F15" s="12" t="s">
        <v>1010</v>
      </c>
      <c r="G15" s="12" t="s">
        <v>808</v>
      </c>
      <c r="H15" s="12" t="s">
        <v>67</v>
      </c>
      <c r="I15" s="12" t="s">
        <v>740</v>
      </c>
      <c r="J15" s="15" t="n">
        <v>6800</v>
      </c>
      <c r="K15" s="18" t="n">
        <f aca="false">ROUND(J15*Settings!$B$3,2)</f>
        <v>476</v>
      </c>
      <c r="L15" s="18" t="n">
        <f aca="false">J15+K15</f>
        <v>7276</v>
      </c>
      <c r="M15" s="12" t="s">
        <v>1007</v>
      </c>
      <c r="N15" s="18" t="n">
        <f aca="false">IF(OR(M15="REJECTED",M15="CANCELLED"),0,J15)</f>
        <v>6800</v>
      </c>
      <c r="O15" s="12" t="s">
        <v>669</v>
      </c>
      <c r="P15" s="12" t="s">
        <v>593</v>
      </c>
      <c r="Q15" s="12" t="s">
        <v>712</v>
      </c>
      <c r="R15" s="12" t="n">
        <v>2</v>
      </c>
      <c r="S15" s="12"/>
      <c r="T15" s="12" t="s">
        <v>1011</v>
      </c>
    </row>
    <row r="16" customFormat="false" ht="15" hidden="false" customHeight="false" outlineLevel="0" collapsed="false">
      <c r="A16" s="12" t="s">
        <v>1012</v>
      </c>
      <c r="B16" s="12" t="n">
        <v>25</v>
      </c>
      <c r="C16" s="12" t="s">
        <v>593</v>
      </c>
      <c r="D16" s="12" t="s">
        <v>540</v>
      </c>
      <c r="E16" s="12" t="s">
        <v>822</v>
      </c>
      <c r="F16" s="12" t="s">
        <v>1013</v>
      </c>
      <c r="G16" s="12" t="s">
        <v>805</v>
      </c>
      <c r="H16" s="12" t="s">
        <v>67</v>
      </c>
      <c r="I16" s="12" t="s">
        <v>740</v>
      </c>
      <c r="J16" s="15" t="n">
        <v>16000</v>
      </c>
      <c r="K16" s="18" t="n">
        <f aca="false">ROUND(J16*Settings!$B$3,2)</f>
        <v>1120</v>
      </c>
      <c r="L16" s="18" t="n">
        <f aca="false">J16+K16</f>
        <v>17120</v>
      </c>
      <c r="M16" s="12" t="s">
        <v>972</v>
      </c>
      <c r="N16" s="18" t="n">
        <f aca="false">IF(OR(M16="REJECTED",M16="CANCELLED"),0,J16)</f>
        <v>16000</v>
      </c>
      <c r="O16" s="12" t="s">
        <v>669</v>
      </c>
      <c r="P16" s="12" t="s">
        <v>633</v>
      </c>
      <c r="Q16" s="12" t="s">
        <v>706</v>
      </c>
      <c r="R16" s="12" t="n">
        <v>2</v>
      </c>
      <c r="S16" s="12" t="s">
        <v>978</v>
      </c>
      <c r="T16" s="12" t="s">
        <v>986</v>
      </c>
    </row>
    <row r="17" customFormat="false" ht="15" hidden="false" customHeight="false" outlineLevel="0" collapsed="false">
      <c r="A17" s="12" t="s">
        <v>1014</v>
      </c>
      <c r="B17" s="12" t="n">
        <v>6</v>
      </c>
      <c r="C17" s="12" t="s">
        <v>578</v>
      </c>
      <c r="D17" s="12" t="s">
        <v>540</v>
      </c>
      <c r="E17" s="12" t="s">
        <v>822</v>
      </c>
      <c r="F17" s="12" t="s">
        <v>1015</v>
      </c>
      <c r="G17" s="12" t="s">
        <v>805</v>
      </c>
      <c r="H17" s="12" t="s">
        <v>67</v>
      </c>
      <c r="I17" s="12" t="s">
        <v>740</v>
      </c>
      <c r="J17" s="15" t="n">
        <v>9200</v>
      </c>
      <c r="K17" s="18" t="n">
        <f aca="false">ROUND(J17*Settings!$B$3,2)</f>
        <v>644</v>
      </c>
      <c r="L17" s="18" t="n">
        <f aca="false">J17+K17</f>
        <v>9844</v>
      </c>
      <c r="M17" s="12" t="s">
        <v>1016</v>
      </c>
      <c r="N17" s="18" t="n">
        <f aca="false">IF(OR(M17="REJECTED",M17="CANCELLED"),0,J17)</f>
        <v>9200</v>
      </c>
      <c r="O17" s="12" t="s">
        <v>669</v>
      </c>
      <c r="P17" s="12" t="s">
        <v>593</v>
      </c>
      <c r="Q17" s="12" t="s">
        <v>712</v>
      </c>
      <c r="R17" s="12" t="n">
        <v>3</v>
      </c>
      <c r="S17" s="12" t="s">
        <v>985</v>
      </c>
      <c r="T17" s="12" t="s">
        <v>1017</v>
      </c>
    </row>
    <row r="18" customFormat="false" ht="23.85" hidden="false" customHeight="false" outlineLevel="0" collapsed="false">
      <c r="A18" s="12" t="s">
        <v>1018</v>
      </c>
      <c r="B18" s="12" t="n">
        <v>35</v>
      </c>
      <c r="C18" s="12" t="s">
        <v>578</v>
      </c>
      <c r="D18" s="12" t="s">
        <v>540</v>
      </c>
      <c r="E18" s="12" t="s">
        <v>822</v>
      </c>
      <c r="F18" s="12" t="s">
        <v>1019</v>
      </c>
      <c r="G18" s="12" t="s">
        <v>805</v>
      </c>
      <c r="H18" s="12" t="s">
        <v>67</v>
      </c>
      <c r="I18" s="12" t="s">
        <v>744</v>
      </c>
      <c r="J18" s="15" t="n">
        <v>380000</v>
      </c>
      <c r="K18" s="18" t="n">
        <f aca="false">ROUND(J18*Settings!$B$3,2)</f>
        <v>26600</v>
      </c>
      <c r="L18" s="18" t="n">
        <f aca="false">J18+K18</f>
        <v>406600</v>
      </c>
      <c r="M18" s="12" t="s">
        <v>977</v>
      </c>
      <c r="N18" s="18" t="n">
        <f aca="false">IF(OR(M18="REJECTED",M18="CANCELLED"),0,J18)</f>
        <v>380000</v>
      </c>
      <c r="O18" s="12" t="s">
        <v>675</v>
      </c>
      <c r="P18" s="12" t="s">
        <v>517</v>
      </c>
      <c r="Q18" s="12" t="s">
        <v>712</v>
      </c>
      <c r="R18" s="12" t="n">
        <v>7</v>
      </c>
      <c r="S18" s="12" t="s">
        <v>973</v>
      </c>
      <c r="T18" s="12" t="s">
        <v>1020</v>
      </c>
    </row>
    <row r="19" customFormat="false" ht="23.85" hidden="false" customHeight="false" outlineLevel="0" collapsed="false">
      <c r="A19" s="12" t="s">
        <v>1021</v>
      </c>
      <c r="B19" s="12" t="n">
        <v>3</v>
      </c>
      <c r="C19" s="12" t="s">
        <v>581</v>
      </c>
      <c r="D19" s="12" t="s">
        <v>540</v>
      </c>
      <c r="E19" s="12" t="s">
        <v>822</v>
      </c>
      <c r="F19" s="12" t="s">
        <v>1022</v>
      </c>
      <c r="G19" s="12" t="s">
        <v>808</v>
      </c>
      <c r="H19" s="12" t="s">
        <v>67</v>
      </c>
      <c r="I19" s="12" t="s">
        <v>744</v>
      </c>
      <c r="J19" s="15" t="n">
        <v>240000</v>
      </c>
      <c r="K19" s="18" t="n">
        <f aca="false">ROUND(J19*Settings!$B$3,2)</f>
        <v>16800</v>
      </c>
      <c r="L19" s="18" t="n">
        <f aca="false">J19+K19</f>
        <v>256800</v>
      </c>
      <c r="M19" s="12" t="s">
        <v>1007</v>
      </c>
      <c r="N19" s="18" t="n">
        <f aca="false">IF(OR(M19="REJECTED",M19="CANCELLED"),0,J19)</f>
        <v>240000</v>
      </c>
      <c r="O19" s="12" t="s">
        <v>675</v>
      </c>
      <c r="P19" s="12" t="s">
        <v>517</v>
      </c>
      <c r="Q19" s="12" t="s">
        <v>712</v>
      </c>
      <c r="R19" s="12" t="n">
        <v>6</v>
      </c>
      <c r="S19" s="12"/>
      <c r="T19" s="12" t="s">
        <v>1023</v>
      </c>
    </row>
    <row r="20" customFormat="false" ht="23.85" hidden="false" customHeight="false" outlineLevel="0" collapsed="false">
      <c r="A20" s="12" t="s">
        <v>1024</v>
      </c>
      <c r="B20" s="12" t="n">
        <v>27</v>
      </c>
      <c r="C20" s="12" t="s">
        <v>605</v>
      </c>
      <c r="D20" s="12" t="s">
        <v>547</v>
      </c>
      <c r="E20" s="12" t="s">
        <v>822</v>
      </c>
      <c r="F20" s="12" t="s">
        <v>1025</v>
      </c>
      <c r="G20" s="12" t="s">
        <v>811</v>
      </c>
      <c r="H20" s="12" t="s">
        <v>108</v>
      </c>
      <c r="I20" s="12" t="s">
        <v>751</v>
      </c>
      <c r="J20" s="15" t="n">
        <v>4500</v>
      </c>
      <c r="K20" s="18" t="n">
        <f aca="false">ROUND(J20*Settings!$B$3,2)</f>
        <v>315</v>
      </c>
      <c r="L20" s="18" t="n">
        <f aca="false">J20+K20</f>
        <v>4815</v>
      </c>
      <c r="M20" s="12" t="s">
        <v>972</v>
      </c>
      <c r="N20" s="18" t="n">
        <f aca="false">IF(OR(M20="REJECTED",M20="CANCELLED"),0,J20)</f>
        <v>4500</v>
      </c>
      <c r="O20" s="12" t="s">
        <v>669</v>
      </c>
      <c r="P20" s="12" t="s">
        <v>609</v>
      </c>
      <c r="Q20" s="12" t="s">
        <v>712</v>
      </c>
      <c r="R20" s="12" t="n">
        <v>1</v>
      </c>
      <c r="S20" s="12" t="s">
        <v>978</v>
      </c>
      <c r="T20" s="12"/>
    </row>
    <row r="21" customFormat="false" ht="23.85" hidden="false" customHeight="false" outlineLevel="0" collapsed="false">
      <c r="A21" s="12" t="s">
        <v>1026</v>
      </c>
      <c r="B21" s="12" t="n">
        <v>20</v>
      </c>
      <c r="C21" s="12" t="s">
        <v>605</v>
      </c>
      <c r="D21" s="12" t="s">
        <v>547</v>
      </c>
      <c r="E21" s="12" t="s">
        <v>827</v>
      </c>
      <c r="F21" s="12" t="s">
        <v>1027</v>
      </c>
      <c r="G21" s="12" t="s">
        <v>811</v>
      </c>
      <c r="H21" s="12" t="s">
        <v>171</v>
      </c>
      <c r="I21" s="12" t="s">
        <v>751</v>
      </c>
      <c r="J21" s="15" t="n">
        <v>45000</v>
      </c>
      <c r="K21" s="18" t="n">
        <f aca="false">ROUND(J21*Settings!$B$3,2)</f>
        <v>3150</v>
      </c>
      <c r="L21" s="18" t="n">
        <f aca="false">J21+K21</f>
        <v>48150</v>
      </c>
      <c r="M21" s="12" t="s">
        <v>977</v>
      </c>
      <c r="N21" s="18" t="n">
        <f aca="false">IF(OR(M21="REJECTED",M21="CANCELLED"),0,J21)</f>
        <v>45000</v>
      </c>
      <c r="O21" s="12" t="s">
        <v>673</v>
      </c>
      <c r="P21" s="12" t="s">
        <v>637</v>
      </c>
      <c r="Q21" s="12" t="s">
        <v>712</v>
      </c>
      <c r="R21" s="12" t="n">
        <v>4</v>
      </c>
      <c r="S21" s="12" t="s">
        <v>985</v>
      </c>
      <c r="T21" s="12"/>
    </row>
    <row r="22" customFormat="false" ht="23.85" hidden="false" customHeight="false" outlineLevel="0" collapsed="false">
      <c r="A22" s="12" t="s">
        <v>1028</v>
      </c>
      <c r="B22" s="12" t="n">
        <v>15</v>
      </c>
      <c r="C22" s="12" t="s">
        <v>597</v>
      </c>
      <c r="D22" s="12" t="s">
        <v>543</v>
      </c>
      <c r="E22" s="12" t="s">
        <v>827</v>
      </c>
      <c r="F22" s="12" t="s">
        <v>1029</v>
      </c>
      <c r="G22" s="12" t="s">
        <v>811</v>
      </c>
      <c r="H22" s="12" t="s">
        <v>108</v>
      </c>
      <c r="I22" s="12" t="s">
        <v>747</v>
      </c>
      <c r="J22" s="15" t="n">
        <v>3000</v>
      </c>
      <c r="K22" s="18" t="n">
        <f aca="false">ROUND(J22*Settings!$B$3,2)</f>
        <v>210</v>
      </c>
      <c r="L22" s="18" t="n">
        <f aca="false">J22+K22</f>
        <v>3210</v>
      </c>
      <c r="M22" s="12" t="s">
        <v>972</v>
      </c>
      <c r="N22" s="18" t="n">
        <f aca="false">IF(OR(M22="REJECTED",M22="CANCELLED"),0,J22)</f>
        <v>3000</v>
      </c>
      <c r="O22" s="12" t="s">
        <v>669</v>
      </c>
      <c r="P22" s="12" t="s">
        <v>601</v>
      </c>
      <c r="Q22" s="12" t="s">
        <v>712</v>
      </c>
      <c r="R22" s="12" t="n">
        <v>1</v>
      </c>
      <c r="S22" s="12" t="s">
        <v>978</v>
      </c>
      <c r="T22" s="12"/>
    </row>
  </sheetData>
  <dataValidations count="3">
    <dataValidation allowBlank="true" errorStyle="stop" operator="between" showDropDown="false" showErrorMessage="false" showInputMessage="false" sqref="M3:M200" type="list">
      <formula1>"COMPLETED,ORDERED,APPROVED,PENDING_APPROVAL,RETURNED,REJECTED,CANCELLED"</formula1>
      <formula2>0</formula2>
    </dataValidation>
    <dataValidation allowBlank="true" errorStyle="stop" operator="between" showDropDown="false" showErrorMessage="false" showInputMessage="false" sqref="S3:S200" type="list">
      <formula1>"LINE_CHAT,LIFF,WEB"</formula1>
      <formula2>0</formula2>
    </dataValidation>
    <dataValidation allowBlank="true" errorStyle="stop" operator="between" showDropDown="false" showErrorMessage="false" showInputMessage="false" sqref="Q3:Q20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U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8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10"/>
    <col collapsed="false" customWidth="true" hidden="false" outlineLevel="0" max="6" min="6" style="0" width="13"/>
    <col collapsed="false" customWidth="true" hidden="false" outlineLevel="0" max="7" min="7" style="0" width="8"/>
    <col collapsed="false" customWidth="true" hidden="false" outlineLevel="0" max="8" min="8" style="0" width="1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2"/>
    <col collapsed="false" customWidth="true" hidden="false" outlineLevel="0" max="13" min="13" style="0" width="11"/>
    <col collapsed="false" customWidth="true" hidden="false" outlineLevel="0" max="14" min="14" style="0" width="9"/>
    <col collapsed="false" customWidth="true" hidden="false" outlineLevel="0" max="15" min="15" style="0" width="12"/>
    <col collapsed="false" customWidth="true" hidden="false" outlineLevel="0" max="16" min="16" style="0" width="8"/>
    <col collapsed="false" customWidth="true" hidden="false" outlineLevel="0" max="17" min="17" style="0" width="16"/>
    <col collapsed="false" customWidth="true" hidden="false" outlineLevel="0" max="18" min="18" style="0" width="60"/>
    <col collapsed="false" customWidth="true" hidden="false" outlineLevel="0" max="19" min="19" style="0" width="36"/>
    <col collapsed="false" customWidth="true" hidden="false" outlineLevel="0" max="20" min="20" style="0" width="10"/>
    <col collapsed="false" customWidth="true" hidden="false" outlineLevel="0" max="21" min="21" style="0" width="7"/>
  </cols>
  <sheetData>
    <row r="1" customFormat="false" ht="23.85" hidden="false" customHeight="false" outlineLevel="0" collapsed="false">
      <c r="A1" s="14" t="s">
        <v>1030</v>
      </c>
      <c r="B1" s="14" t="s">
        <v>1031</v>
      </c>
      <c r="C1" s="14" t="s">
        <v>1032</v>
      </c>
      <c r="D1" s="14" t="s">
        <v>1033</v>
      </c>
      <c r="E1" s="14" t="s">
        <v>953</v>
      </c>
      <c r="F1" s="14" t="s">
        <v>940</v>
      </c>
      <c r="G1" s="14" t="s">
        <v>939</v>
      </c>
      <c r="H1" s="14" t="s">
        <v>944</v>
      </c>
      <c r="I1" s="14" t="s">
        <v>942</v>
      </c>
      <c r="J1" s="14" t="s">
        <v>945</v>
      </c>
      <c r="K1" s="14" t="s">
        <v>946</v>
      </c>
      <c r="L1" s="14" t="s">
        <v>947</v>
      </c>
      <c r="M1" s="14" t="s">
        <v>1034</v>
      </c>
      <c r="N1" s="14" t="s">
        <v>949</v>
      </c>
      <c r="O1" s="14" t="s">
        <v>950</v>
      </c>
      <c r="P1" s="14" t="s">
        <v>951</v>
      </c>
      <c r="Q1" s="14" t="s">
        <v>1035</v>
      </c>
      <c r="R1" s="14" t="s">
        <v>1036</v>
      </c>
      <c r="S1" s="14" t="s">
        <v>1037</v>
      </c>
      <c r="T1" s="14" t="s">
        <v>1038</v>
      </c>
      <c r="U1" s="14" t="s">
        <v>1039</v>
      </c>
    </row>
    <row r="2" customFormat="false" ht="31.5" hidden="false" customHeight="true" outlineLevel="0" collapsed="false">
      <c r="A2" s="11" t="s">
        <v>1040</v>
      </c>
      <c r="B2" s="11" t="s">
        <v>1041</v>
      </c>
      <c r="C2" s="11" t="s">
        <v>1042</v>
      </c>
      <c r="D2" s="11" t="s">
        <v>1043</v>
      </c>
      <c r="E2" s="11" t="s">
        <v>1044</v>
      </c>
      <c r="F2" s="11" t="s">
        <v>956</v>
      </c>
      <c r="G2" s="11" t="s">
        <v>1045</v>
      </c>
      <c r="H2" s="11" t="s">
        <v>959</v>
      </c>
      <c r="I2" s="11" t="s">
        <v>958</v>
      </c>
      <c r="J2" s="11" t="s">
        <v>960</v>
      </c>
      <c r="K2" s="11" t="s">
        <v>961</v>
      </c>
      <c r="L2" s="11" t="s">
        <v>962</v>
      </c>
      <c r="M2" s="11" t="s">
        <v>1046</v>
      </c>
      <c r="N2" s="11" t="s">
        <v>1047</v>
      </c>
      <c r="O2" s="11" t="s">
        <v>1048</v>
      </c>
      <c r="P2" s="11" t="s">
        <v>1049</v>
      </c>
      <c r="Q2" s="11" t="s">
        <v>1050</v>
      </c>
      <c r="R2" s="11" t="s">
        <v>1051</v>
      </c>
      <c r="S2" s="11" t="s">
        <v>1052</v>
      </c>
      <c r="T2" s="11" t="s">
        <v>1053</v>
      </c>
      <c r="U2" s="11" t="s">
        <v>1054</v>
      </c>
    </row>
    <row r="3" customFormat="false" ht="23.85" hidden="false" customHeight="false" outlineLevel="0" collapsed="false">
      <c r="A3" s="12" t="n">
        <v>1</v>
      </c>
      <c r="B3" s="12" t="s">
        <v>706</v>
      </c>
      <c r="C3" s="12" t="s">
        <v>1055</v>
      </c>
      <c r="D3" s="12" t="s">
        <v>578</v>
      </c>
      <c r="E3" s="12" t="s">
        <v>973</v>
      </c>
      <c r="F3" s="12" t="s">
        <v>822</v>
      </c>
      <c r="G3" s="12" t="s">
        <v>540</v>
      </c>
      <c r="H3" s="12" t="s">
        <v>740</v>
      </c>
      <c r="I3" s="12" t="s">
        <v>805</v>
      </c>
      <c r="J3" s="15" t="n">
        <v>42000</v>
      </c>
      <c r="K3" s="18" t="n">
        <f aca="false">IF(J3="","",ROUND(J3*Settings!$B$3,2))</f>
        <v>2940</v>
      </c>
      <c r="L3" s="18" t="n">
        <f aca="false">IF(J3="","",J3+K3)</f>
        <v>44940</v>
      </c>
      <c r="M3" s="12" t="s">
        <v>1056</v>
      </c>
      <c r="N3" s="12" t="s">
        <v>673</v>
      </c>
      <c r="O3" s="12" t="s">
        <v>633</v>
      </c>
      <c r="P3" s="12" t="s">
        <v>712</v>
      </c>
      <c r="Q3" s="12"/>
      <c r="R3" s="12" t="s">
        <v>1057</v>
      </c>
      <c r="S3" s="12" t="s">
        <v>1058</v>
      </c>
      <c r="T3" s="12" t="s">
        <v>301</v>
      </c>
      <c r="U3" s="12" t="n">
        <v>3</v>
      </c>
    </row>
    <row r="4" customFormat="false" ht="23.85" hidden="false" customHeight="false" outlineLevel="0" collapsed="false">
      <c r="A4" s="12" t="n">
        <v>2</v>
      </c>
      <c r="B4" s="12" t="s">
        <v>706</v>
      </c>
      <c r="C4" s="12" t="s">
        <v>1059</v>
      </c>
      <c r="D4" s="12" t="s">
        <v>633</v>
      </c>
      <c r="E4" s="12" t="s">
        <v>978</v>
      </c>
      <c r="F4" s="12"/>
      <c r="G4" s="12"/>
      <c r="H4" s="12"/>
      <c r="I4" s="12"/>
      <c r="J4" s="15"/>
      <c r="K4" s="18" t="str">
        <f aca="false">IF(J4="","",ROUND(J4*Settings!$B$3,2))</f>
        <v/>
      </c>
      <c r="L4" s="18" t="str">
        <f aca="false">IF(J4="","",J4+K4)</f>
        <v/>
      </c>
      <c r="M4" s="12" t="s">
        <v>1060</v>
      </c>
      <c r="N4" s="12"/>
      <c r="O4" s="12"/>
      <c r="P4" s="12"/>
      <c r="Q4" s="12"/>
      <c r="R4" s="12" t="s">
        <v>1061</v>
      </c>
      <c r="S4" s="12" t="s">
        <v>1062</v>
      </c>
      <c r="T4" s="12" t="s">
        <v>268</v>
      </c>
      <c r="U4" s="12" t="n">
        <v>2</v>
      </c>
    </row>
    <row r="5" customFormat="false" ht="23.85" hidden="false" customHeight="false" outlineLevel="0" collapsed="false">
      <c r="A5" s="12" t="n">
        <v>3</v>
      </c>
      <c r="B5" s="12" t="s">
        <v>706</v>
      </c>
      <c r="C5" s="12" t="s">
        <v>1063</v>
      </c>
      <c r="D5" s="12" t="s">
        <v>581</v>
      </c>
      <c r="E5" s="12" t="s">
        <v>973</v>
      </c>
      <c r="F5" s="12" t="s">
        <v>822</v>
      </c>
      <c r="G5" s="12" t="s">
        <v>540</v>
      </c>
      <c r="H5" s="12" t="s">
        <v>744</v>
      </c>
      <c r="I5" s="12" t="s">
        <v>808</v>
      </c>
      <c r="J5" s="15" t="n">
        <v>140000</v>
      </c>
      <c r="K5" s="18" t="n">
        <f aca="false">IF(J5="","",ROUND(J5*Settings!$B$3,2))</f>
        <v>9800</v>
      </c>
      <c r="L5" s="18" t="n">
        <f aca="false">IF(J5="","",J5+K5)</f>
        <v>149800</v>
      </c>
      <c r="M5" s="12" t="s">
        <v>1056</v>
      </c>
      <c r="N5" s="12" t="s">
        <v>675</v>
      </c>
      <c r="O5" s="12" t="s">
        <v>517</v>
      </c>
      <c r="P5" s="12" t="s">
        <v>712</v>
      </c>
      <c r="Q5" s="12"/>
      <c r="R5" s="12" t="s">
        <v>1064</v>
      </c>
      <c r="S5" s="12" t="s">
        <v>1065</v>
      </c>
      <c r="T5" s="12" t="s">
        <v>262</v>
      </c>
      <c r="U5" s="12" t="n">
        <v>3</v>
      </c>
    </row>
    <row r="6" customFormat="false" ht="23.85" hidden="false" customHeight="false" outlineLevel="0" collapsed="false">
      <c r="A6" s="12" t="n">
        <v>4</v>
      </c>
      <c r="B6" s="12" t="s">
        <v>706</v>
      </c>
      <c r="C6" s="12" t="s">
        <v>1066</v>
      </c>
      <c r="D6" s="12" t="s">
        <v>618</v>
      </c>
      <c r="E6" s="12" t="s">
        <v>973</v>
      </c>
      <c r="F6" s="12" t="s">
        <v>836</v>
      </c>
      <c r="G6" s="12" t="s">
        <v>174</v>
      </c>
      <c r="H6" s="12" t="s">
        <v>755</v>
      </c>
      <c r="I6" s="12" t="s">
        <v>811</v>
      </c>
      <c r="J6" s="15" t="n">
        <v>60000</v>
      </c>
      <c r="K6" s="18" t="n">
        <f aca="false">IF(J6="","",ROUND(J6*Settings!$B$3,2))</f>
        <v>4200</v>
      </c>
      <c r="L6" s="18" t="n">
        <f aca="false">IF(J6="","",J6+K6)</f>
        <v>64200</v>
      </c>
      <c r="M6" s="12" t="s">
        <v>1067</v>
      </c>
      <c r="N6" s="12"/>
      <c r="O6" s="12"/>
      <c r="P6" s="12"/>
      <c r="Q6" s="12"/>
      <c r="R6" s="12" t="s">
        <v>1068</v>
      </c>
      <c r="S6" s="12" t="s">
        <v>1069</v>
      </c>
      <c r="T6" s="12" t="s">
        <v>344</v>
      </c>
      <c r="U6" s="12" t="n">
        <v>2</v>
      </c>
    </row>
    <row r="7" customFormat="false" ht="23.85" hidden="false" customHeight="false" outlineLevel="0" collapsed="false">
      <c r="A7" s="12" t="n">
        <v>5</v>
      </c>
      <c r="B7" s="12" t="s">
        <v>706</v>
      </c>
      <c r="C7" s="12" t="s">
        <v>1070</v>
      </c>
      <c r="D7" s="12" t="s">
        <v>581</v>
      </c>
      <c r="E7" s="12" t="s">
        <v>985</v>
      </c>
      <c r="F7" s="12" t="s">
        <v>822</v>
      </c>
      <c r="G7" s="12" t="s">
        <v>540</v>
      </c>
      <c r="H7" s="12" t="s">
        <v>740</v>
      </c>
      <c r="I7" s="12" t="s">
        <v>808</v>
      </c>
      <c r="J7" s="15" t="n">
        <v>18700</v>
      </c>
      <c r="K7" s="18" t="n">
        <f aca="false">IF(J7="","",ROUND(J7*Settings!$B$3,2))</f>
        <v>1309</v>
      </c>
      <c r="L7" s="18" t="n">
        <f aca="false">IF(J7="","",J7+K7)</f>
        <v>20009</v>
      </c>
      <c r="M7" s="12" t="s">
        <v>1056</v>
      </c>
      <c r="N7" s="12" t="s">
        <v>673</v>
      </c>
      <c r="O7" s="12" t="s">
        <v>633</v>
      </c>
      <c r="P7" s="12" t="s">
        <v>712</v>
      </c>
      <c r="Q7" s="12"/>
      <c r="R7" s="12" t="s">
        <v>1071</v>
      </c>
      <c r="S7" s="12" t="s">
        <v>1072</v>
      </c>
      <c r="T7" s="12" t="s">
        <v>250</v>
      </c>
      <c r="U7" s="12" t="n">
        <v>2</v>
      </c>
    </row>
    <row r="8" customFormat="false" ht="15" hidden="false" customHeight="false" outlineLevel="0" collapsed="false">
      <c r="A8" s="12" t="n">
        <v>6</v>
      </c>
      <c r="B8" s="12" t="s">
        <v>712</v>
      </c>
      <c r="C8" s="12" t="s">
        <v>1073</v>
      </c>
      <c r="D8" s="12" t="s">
        <v>593</v>
      </c>
      <c r="E8" s="12" t="s">
        <v>985</v>
      </c>
      <c r="F8" s="12" t="s">
        <v>822</v>
      </c>
      <c r="G8" s="12" t="s">
        <v>540</v>
      </c>
      <c r="H8" s="12" t="s">
        <v>740</v>
      </c>
      <c r="I8" s="12" t="s">
        <v>805</v>
      </c>
      <c r="J8" s="15" t="n">
        <v>16500</v>
      </c>
      <c r="K8" s="18" t="n">
        <f aca="false">IF(J8="","",ROUND(J8*Settings!$B$3,2))</f>
        <v>1155</v>
      </c>
      <c r="L8" s="18" t="n">
        <f aca="false">IF(J8="","",J8+K8)</f>
        <v>17655</v>
      </c>
      <c r="M8" s="12" t="s">
        <v>1056</v>
      </c>
      <c r="N8" s="12" t="s">
        <v>669</v>
      </c>
      <c r="O8" s="12" t="s">
        <v>633</v>
      </c>
      <c r="P8" s="12" t="s">
        <v>706</v>
      </c>
      <c r="Q8" s="12"/>
      <c r="R8" s="12" t="s">
        <v>1074</v>
      </c>
      <c r="S8" s="12" t="s">
        <v>1075</v>
      </c>
      <c r="T8" s="12" t="s">
        <v>256</v>
      </c>
      <c r="U8" s="12" t="n">
        <v>2</v>
      </c>
    </row>
    <row r="9" customFormat="false" ht="23.85" hidden="false" customHeight="false" outlineLevel="0" collapsed="false">
      <c r="A9" s="12" t="n">
        <v>7</v>
      </c>
      <c r="B9" s="12" t="s">
        <v>706</v>
      </c>
      <c r="C9" s="12" t="s">
        <v>1076</v>
      </c>
      <c r="D9" s="12" t="s">
        <v>597</v>
      </c>
      <c r="E9" s="12" t="s">
        <v>985</v>
      </c>
      <c r="F9" s="12"/>
      <c r="G9" s="12"/>
      <c r="H9" s="12"/>
      <c r="I9" s="12"/>
      <c r="J9" s="15"/>
      <c r="K9" s="18" t="str">
        <f aca="false">IF(J9="","",ROUND(J9*Settings!$B$3,2))</f>
        <v/>
      </c>
      <c r="L9" s="18" t="str">
        <f aca="false">IF(J9="","",J9+K9)</f>
        <v/>
      </c>
      <c r="M9" s="12" t="s">
        <v>1060</v>
      </c>
      <c r="N9" s="12"/>
      <c r="O9" s="12"/>
      <c r="P9" s="12"/>
      <c r="Q9" s="12"/>
      <c r="R9" s="12" t="s">
        <v>1077</v>
      </c>
      <c r="S9" s="12" t="s">
        <v>1078</v>
      </c>
      <c r="T9" s="12" t="s">
        <v>311</v>
      </c>
      <c r="U9" s="12" t="n">
        <v>4</v>
      </c>
    </row>
    <row r="10" customFormat="false" ht="22.35" hidden="false" customHeight="false" outlineLevel="0" collapsed="false">
      <c r="A10" s="12" t="n">
        <v>8</v>
      </c>
      <c r="B10" s="12" t="s">
        <v>706</v>
      </c>
      <c r="C10" s="12" t="s">
        <v>1079</v>
      </c>
      <c r="D10" s="12" t="s">
        <v>589</v>
      </c>
      <c r="E10" s="12" t="s">
        <v>973</v>
      </c>
      <c r="F10" s="12"/>
      <c r="G10" s="12"/>
      <c r="H10" s="12"/>
      <c r="I10" s="12"/>
      <c r="J10" s="15"/>
      <c r="K10" s="18" t="str">
        <f aca="false">IF(J10="","",ROUND(J10*Settings!$B$3,2))</f>
        <v/>
      </c>
      <c r="L10" s="18" t="str">
        <f aca="false">IF(J10="","",J10+K10)</f>
        <v/>
      </c>
      <c r="M10" s="12" t="s">
        <v>1060</v>
      </c>
      <c r="N10" s="12"/>
      <c r="O10" s="12"/>
      <c r="P10" s="12"/>
      <c r="Q10" s="12"/>
      <c r="R10" s="12" t="s">
        <v>1080</v>
      </c>
      <c r="S10" s="12" t="s">
        <v>1081</v>
      </c>
      <c r="T10" s="12" t="s">
        <v>388</v>
      </c>
      <c r="U10" s="12" t="n">
        <v>3</v>
      </c>
    </row>
    <row r="11" customFormat="false" ht="23.85" hidden="false" customHeight="false" outlineLevel="0" collapsed="false">
      <c r="A11" s="12" t="n">
        <v>9</v>
      </c>
      <c r="B11" s="12" t="s">
        <v>706</v>
      </c>
      <c r="C11" s="12" t="s">
        <v>1082</v>
      </c>
      <c r="D11" s="12" t="s">
        <v>517</v>
      </c>
      <c r="E11" s="12" t="s">
        <v>985</v>
      </c>
      <c r="F11" s="12"/>
      <c r="G11" s="12"/>
      <c r="H11" s="12"/>
      <c r="I11" s="12"/>
      <c r="J11" s="15"/>
      <c r="K11" s="18" t="str">
        <f aca="false">IF(J11="","",ROUND(J11*Settings!$B$3,2))</f>
        <v/>
      </c>
      <c r="L11" s="18" t="str">
        <f aca="false">IF(J11="","",J11+K11)</f>
        <v/>
      </c>
      <c r="M11" s="12" t="s">
        <v>1060</v>
      </c>
      <c r="N11" s="12"/>
      <c r="O11" s="12"/>
      <c r="P11" s="12"/>
      <c r="Q11" s="12"/>
      <c r="R11" s="12" t="s">
        <v>1083</v>
      </c>
      <c r="S11" s="12" t="s">
        <v>1084</v>
      </c>
      <c r="T11" s="12" t="s">
        <v>291</v>
      </c>
      <c r="U11" s="12" t="n">
        <v>3</v>
      </c>
    </row>
    <row r="12" customFormat="false" ht="35.05" hidden="false" customHeight="false" outlineLevel="0" collapsed="false">
      <c r="A12" s="12" t="n">
        <v>10</v>
      </c>
      <c r="B12" s="12" t="s">
        <v>712</v>
      </c>
      <c r="C12" s="12" t="s">
        <v>1085</v>
      </c>
      <c r="D12" s="12" t="s">
        <v>626</v>
      </c>
      <c r="E12" s="12" t="s">
        <v>985</v>
      </c>
      <c r="F12" s="12"/>
      <c r="G12" s="12"/>
      <c r="H12" s="12"/>
      <c r="I12" s="12"/>
      <c r="J12" s="15"/>
      <c r="K12" s="18" t="str">
        <f aca="false">IF(J12="","",ROUND(J12*Settings!$B$3,2))</f>
        <v/>
      </c>
      <c r="L12" s="18" t="str">
        <f aca="false">IF(J12="","",J12+K12)</f>
        <v/>
      </c>
      <c r="M12" s="12" t="s">
        <v>1060</v>
      </c>
      <c r="N12" s="12"/>
      <c r="O12" s="12"/>
      <c r="P12" s="12"/>
      <c r="Q12" s="12"/>
      <c r="R12" s="12" t="s">
        <v>1086</v>
      </c>
      <c r="S12" s="12" t="s">
        <v>1087</v>
      </c>
      <c r="T12" s="12" t="s">
        <v>273</v>
      </c>
      <c r="U12" s="12" t="n">
        <v>4</v>
      </c>
    </row>
    <row r="13" customFormat="false" ht="23.85" hidden="false" customHeight="false" outlineLevel="0" collapsed="false">
      <c r="A13" s="12" t="n">
        <v>11</v>
      </c>
      <c r="B13" s="12" t="s">
        <v>712</v>
      </c>
      <c r="C13" s="12" t="s">
        <v>1088</v>
      </c>
      <c r="D13" s="12" t="s">
        <v>581</v>
      </c>
      <c r="E13" s="12" t="s">
        <v>973</v>
      </c>
      <c r="F13" s="12" t="s">
        <v>822</v>
      </c>
      <c r="G13" s="12" t="s">
        <v>540</v>
      </c>
      <c r="H13" s="12" t="s">
        <v>740</v>
      </c>
      <c r="I13" s="12" t="s">
        <v>808</v>
      </c>
      <c r="J13" s="15" t="n">
        <v>8000</v>
      </c>
      <c r="K13" s="18" t="n">
        <f aca="false">IF(J13="","",ROUND(J13*Settings!$B$3,2))</f>
        <v>560</v>
      </c>
      <c r="L13" s="18" t="n">
        <f aca="false">IF(J13="","",J13+K13)</f>
        <v>8560</v>
      </c>
      <c r="M13" s="12" t="s">
        <v>1056</v>
      </c>
      <c r="N13" s="12" t="s">
        <v>669</v>
      </c>
      <c r="O13" s="12" t="s">
        <v>585</v>
      </c>
      <c r="P13" s="12" t="s">
        <v>712</v>
      </c>
      <c r="Q13" s="12" t="s">
        <v>1089</v>
      </c>
      <c r="R13" s="12" t="s">
        <v>1090</v>
      </c>
      <c r="S13" s="12" t="s">
        <v>1091</v>
      </c>
      <c r="T13" s="12" t="s">
        <v>268</v>
      </c>
      <c r="U13" s="12" t="n">
        <v>2</v>
      </c>
    </row>
    <row r="14" customFormat="false" ht="35.05" hidden="false" customHeight="false" outlineLevel="0" collapsed="false">
      <c r="A14" s="12" t="n">
        <v>12</v>
      </c>
      <c r="B14" s="12" t="s">
        <v>712</v>
      </c>
      <c r="C14" s="12" t="s">
        <v>1092</v>
      </c>
      <c r="D14" s="12" t="s">
        <v>597</v>
      </c>
      <c r="E14" s="12" t="s">
        <v>985</v>
      </c>
      <c r="F14" s="12"/>
      <c r="G14" s="12"/>
      <c r="H14" s="12"/>
      <c r="I14" s="12"/>
      <c r="J14" s="15"/>
      <c r="K14" s="18" t="str">
        <f aca="false">IF(J14="","",ROUND(J14*Settings!$B$3,2))</f>
        <v/>
      </c>
      <c r="L14" s="18" t="str">
        <f aca="false">IF(J14="","",J14+K14)</f>
        <v/>
      </c>
      <c r="M14" s="12" t="s">
        <v>1060</v>
      </c>
      <c r="N14" s="12"/>
      <c r="O14" s="12"/>
      <c r="P14" s="12"/>
      <c r="Q14" s="12"/>
      <c r="R14" s="12" t="s">
        <v>1093</v>
      </c>
      <c r="S14" s="12" t="s">
        <v>1094</v>
      </c>
      <c r="T14" s="12" t="s">
        <v>320</v>
      </c>
      <c r="U14" s="12" t="n">
        <v>2</v>
      </c>
    </row>
    <row r="15" customFormat="false" ht="23.85" hidden="false" customHeight="false" outlineLevel="0" collapsed="false">
      <c r="A15" s="12" t="n">
        <v>13</v>
      </c>
      <c r="B15" s="12" t="s">
        <v>712</v>
      </c>
      <c r="C15" s="12" t="s">
        <v>1095</v>
      </c>
      <c r="D15" s="12" t="s">
        <v>605</v>
      </c>
      <c r="E15" s="12" t="s">
        <v>985</v>
      </c>
      <c r="F15" s="12"/>
      <c r="G15" s="12"/>
      <c r="H15" s="12"/>
      <c r="I15" s="12"/>
      <c r="J15" s="15"/>
      <c r="K15" s="18" t="str">
        <f aca="false">IF(J15="","",ROUND(J15*Settings!$B$3,2))</f>
        <v/>
      </c>
      <c r="L15" s="18" t="str">
        <f aca="false">IF(J15="","",J15+K15)</f>
        <v/>
      </c>
      <c r="M15" s="12" t="s">
        <v>1060</v>
      </c>
      <c r="N15" s="12"/>
      <c r="O15" s="12"/>
      <c r="P15" s="12"/>
      <c r="Q15" s="12"/>
      <c r="R15" s="12" t="s">
        <v>1096</v>
      </c>
      <c r="S15" s="12" t="s">
        <v>1097</v>
      </c>
      <c r="T15" s="12" t="s">
        <v>428</v>
      </c>
      <c r="U15" s="12" t="n">
        <v>2</v>
      </c>
    </row>
    <row r="17" customFormat="false" ht="15" hidden="false" customHeight="false" outlineLevel="0" collapsed="false">
      <c r="T17" s="20" t="s">
        <v>1098</v>
      </c>
      <c r="U17" s="20" t="n">
        <f aca="false">SUM(U3:U15)</f>
        <v>34</v>
      </c>
    </row>
    <row r="18" customFormat="false" ht="15" hidden="false" customHeight="false" outlineLevel="0" collapsed="false">
      <c r="T18" s="20" t="s">
        <v>1099</v>
      </c>
      <c r="U18" s="20" t="n">
        <f aca="false">SUMIFS(U3:U15,B3:B15,"Y")</f>
        <v>22</v>
      </c>
    </row>
    <row r="20" customFormat="false" ht="15" hidden="false" customHeight="false" outlineLevel="0" collapsed="false">
      <c r="A20" s="24" t="s">
        <v>1100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2026-10-01T16:23:52Z</dcterms:created>
  <dc:creator>openpyxl</dc:creator>
  <dc:description/>
  <dc:language>en-US</dc:language>
  <cp:lastModifiedBy/>
  <dcterms:modified xsi:type="dcterms:W3CDTF">2026-10-01T16:23:52Z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